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A Wise Business Daily Tracker - Group\"/>
    </mc:Choice>
  </mc:AlternateContent>
  <xr:revisionPtr revIDLastSave="0" documentId="13_ncr:1_{EF2E034D-ADCE-45E2-8946-3E6C26202BB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A Summary (2)" sheetId="16" r:id="rId1"/>
    <sheet name="Data Shee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O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E44" i="16"/>
  <c r="F29" i="16" l="1"/>
  <c r="G29" i="16"/>
  <c r="H29" i="16"/>
  <c r="I29" i="16"/>
  <c r="J29" i="16"/>
  <c r="K29" i="16"/>
  <c r="L29" i="16"/>
  <c r="M29" i="16"/>
  <c r="N29" i="16"/>
  <c r="O29" i="16"/>
  <c r="P29" i="16"/>
  <c r="Q29" i="16"/>
  <c r="E29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E26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P20" i="16"/>
  <c r="N20" i="16"/>
  <c r="L20" i="16"/>
  <c r="J20" i="16"/>
  <c r="H20" i="16"/>
  <c r="G20" i="16"/>
  <c r="F20" i="16"/>
  <c r="E20" i="16"/>
  <c r="P18" i="16"/>
  <c r="N18" i="16"/>
  <c r="L18" i="16"/>
  <c r="J18" i="16"/>
  <c r="H18" i="16"/>
  <c r="G18" i="16"/>
  <c r="F18" i="16"/>
  <c r="E18" i="16"/>
  <c r="P16" i="16"/>
  <c r="N16" i="16"/>
  <c r="L16" i="16"/>
  <c r="J16" i="16"/>
  <c r="H16" i="16"/>
  <c r="G16" i="16"/>
  <c r="F16" i="16"/>
  <c r="E16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H12" i="16"/>
  <c r="G12" i="16"/>
  <c r="F12" i="16"/>
  <c r="I12" i="16"/>
  <c r="J12" i="16"/>
  <c r="K12" i="16"/>
  <c r="L12" i="16"/>
  <c r="M12" i="16"/>
  <c r="N12" i="16"/>
  <c r="O12" i="16"/>
  <c r="P12" i="16"/>
  <c r="E12" i="16"/>
  <c r="Q10" i="16"/>
  <c r="Q12" i="16" s="1"/>
  <c r="Q19" i="16"/>
  <c r="O19" i="16"/>
  <c r="O20" i="16" s="1"/>
  <c r="M19" i="16"/>
  <c r="M20" i="16" s="1"/>
  <c r="K19" i="16"/>
  <c r="K20" i="16" s="1"/>
  <c r="I19" i="16"/>
  <c r="I20" i="16" s="1"/>
  <c r="Q17" i="16"/>
  <c r="O17" i="16"/>
  <c r="O18" i="16" s="1"/>
  <c r="M17" i="16"/>
  <c r="M18" i="16" s="1"/>
  <c r="K17" i="16"/>
  <c r="K18" i="16" s="1"/>
  <c r="I17" i="16"/>
  <c r="I18" i="16" s="1"/>
  <c r="Q15" i="16"/>
  <c r="O15" i="16"/>
  <c r="O16" i="16" s="1"/>
  <c r="M15" i="16"/>
  <c r="M16" i="16" s="1"/>
  <c r="K15" i="16"/>
  <c r="K16" i="16" s="1"/>
  <c r="I15" i="16"/>
  <c r="I16" i="16" s="1"/>
  <c r="Q16" i="16" l="1"/>
  <c r="Q20" i="16"/>
  <c r="Q22" i="16"/>
  <c r="Q18" i="16"/>
  <c r="Q14" i="16"/>
</calcChain>
</file>

<file path=xl/sharedStrings.xml><?xml version="1.0" encoding="utf-8"?>
<sst xmlns="http://schemas.openxmlformats.org/spreadsheetml/2006/main" count="1915" uniqueCount="250">
  <si>
    <t>Service Advisor Business Tracking Performance - 2026</t>
  </si>
  <si>
    <t xml:space="preserve">SA Name </t>
  </si>
  <si>
    <t>Ambika M</t>
  </si>
  <si>
    <t>Branch</t>
  </si>
  <si>
    <t>CM01A</t>
  </si>
  <si>
    <t>Month</t>
  </si>
  <si>
    <t>Employee Number</t>
  </si>
  <si>
    <t>Name</t>
  </si>
  <si>
    <t>GUS</t>
  </si>
  <si>
    <t>PM</t>
  </si>
  <si>
    <t>Tyre</t>
  </si>
  <si>
    <t>Battery</t>
  </si>
  <si>
    <t>Injecot Cleaner</t>
  </si>
  <si>
    <t>Engine Flush</t>
  </si>
  <si>
    <t>Backta</t>
  </si>
  <si>
    <t>W/A</t>
  </si>
  <si>
    <t>Smiles</t>
  </si>
  <si>
    <t>T-Gloss</t>
  </si>
  <si>
    <t>GS to BP</t>
  </si>
  <si>
    <t>NPS</t>
  </si>
  <si>
    <t>CS</t>
  </si>
  <si>
    <t>DIY</t>
  </si>
  <si>
    <t>ACC</t>
  </si>
  <si>
    <t>Rank</t>
  </si>
  <si>
    <t>No.s</t>
  </si>
  <si>
    <t>PM Conv %</t>
  </si>
  <si>
    <t>Units</t>
  </si>
  <si>
    <t>Penat %</t>
  </si>
  <si>
    <t>Gentan-i</t>
  </si>
  <si>
    <t>Conv %</t>
  </si>
  <si>
    <t>Promoter</t>
  </si>
  <si>
    <t>Resp Rate</t>
  </si>
  <si>
    <t>IVOC</t>
  </si>
  <si>
    <t>VOC</t>
  </si>
  <si>
    <t>January</t>
  </si>
  <si>
    <t>CAA0442</t>
  </si>
  <si>
    <t>February</t>
  </si>
  <si>
    <t>March</t>
  </si>
  <si>
    <t>April</t>
  </si>
  <si>
    <t>May</t>
  </si>
  <si>
    <t>June</t>
  </si>
  <si>
    <t>City</t>
  </si>
  <si>
    <t>Designation</t>
  </si>
  <si>
    <t>Grade</t>
  </si>
  <si>
    <t>10K</t>
  </si>
  <si>
    <t>20K</t>
  </si>
  <si>
    <t>30K</t>
  </si>
  <si>
    <t>A</t>
  </si>
  <si>
    <t>Service Advisor - General</t>
  </si>
  <si>
    <t>Executive Grade 4 (E4)-A</t>
  </si>
  <si>
    <t>CAA1039</t>
  </si>
  <si>
    <t>VINITHA P</t>
  </si>
  <si>
    <t>CAA0611</t>
  </si>
  <si>
    <t>Thangaraj R</t>
  </si>
  <si>
    <t>Executive Grade 2 (E2)-B</t>
  </si>
  <si>
    <t>CAA0451</t>
  </si>
  <si>
    <t>JACKSON PAUL LAYANDOR B</t>
  </si>
  <si>
    <t>Executive Grade 3 (E3)-B</t>
  </si>
  <si>
    <t>CAA1611</t>
  </si>
  <si>
    <t>Dinesh Kumar K</t>
  </si>
  <si>
    <t>Dhanapriya  T</t>
  </si>
  <si>
    <t>Executive Trainee</t>
  </si>
  <si>
    <t>Ashok Chandar R</t>
  </si>
  <si>
    <t>CAA0455</t>
  </si>
  <si>
    <t>Sathishkumar D</t>
  </si>
  <si>
    <t>Executive Grade 2 (E2)-A</t>
  </si>
  <si>
    <t>CAA0605</t>
  </si>
  <si>
    <t>Kowsic P</t>
  </si>
  <si>
    <t>CAA0408</t>
  </si>
  <si>
    <t>Vetrivel  Vinayagam</t>
  </si>
  <si>
    <t>CAA0903</t>
  </si>
  <si>
    <t>Sabitha S</t>
  </si>
  <si>
    <t>Executive Grade 4 (E4)-B</t>
  </si>
  <si>
    <t>CAA1451</t>
  </si>
  <si>
    <t>PRANOV DHARSHAN K</t>
  </si>
  <si>
    <t>Lavanya R</t>
  </si>
  <si>
    <t>CM03D</t>
  </si>
  <si>
    <t>Vacant</t>
  </si>
  <si>
    <t>CM03C</t>
  </si>
  <si>
    <t>CAA1604</t>
  </si>
  <si>
    <t>Elangovan K</t>
  </si>
  <si>
    <t>Executive Grade 5 (E5)-A</t>
  </si>
  <si>
    <t>NL01A</t>
  </si>
  <si>
    <t>B</t>
  </si>
  <si>
    <t>CAA0489</t>
  </si>
  <si>
    <t>Dinesh K</t>
  </si>
  <si>
    <t>CAA1299</t>
  </si>
  <si>
    <t>Antony Stalin M</t>
  </si>
  <si>
    <t>Executive Grade 5 (E5)-B</t>
  </si>
  <si>
    <t>PO01A</t>
  </si>
  <si>
    <t>CAA0167</t>
  </si>
  <si>
    <t>Akilesh A</t>
  </si>
  <si>
    <t>CAA0183</t>
  </si>
  <si>
    <t>SATHISHKUMAR SIVANANDHAM</t>
  </si>
  <si>
    <t>CAA1481</t>
  </si>
  <si>
    <t>UVARAJSEKAR A</t>
  </si>
  <si>
    <t>CAA0172</t>
  </si>
  <si>
    <t>Karthick R</t>
  </si>
  <si>
    <t>ER01A</t>
  </si>
  <si>
    <t>CAA0680</t>
  </si>
  <si>
    <t>MUSTHAFA S</t>
  </si>
  <si>
    <t>CAA0643</t>
  </si>
  <si>
    <t>ASHOK S</t>
  </si>
  <si>
    <t>CAA0649</t>
  </si>
  <si>
    <t>VIVEK M</t>
  </si>
  <si>
    <t>CAA1124</t>
  </si>
  <si>
    <t>ABISHEK T</t>
  </si>
  <si>
    <t>CAA1265</t>
  </si>
  <si>
    <t>VINOTH KUMAR V</t>
  </si>
  <si>
    <t>CAA1732</t>
  </si>
  <si>
    <t>GOBITH P</t>
  </si>
  <si>
    <t>CAA2013</t>
  </si>
  <si>
    <t>YOGESH Y</t>
  </si>
  <si>
    <t>CAA2155</t>
  </si>
  <si>
    <t>RAHUL B</t>
  </si>
  <si>
    <t>ER01B</t>
  </si>
  <si>
    <t>CAA0823</t>
  </si>
  <si>
    <t>KIRUBAKARAN R</t>
  </si>
  <si>
    <t>ER01C</t>
  </si>
  <si>
    <t>CAA1504</t>
  </si>
  <si>
    <t>SURESH KUMAR S</t>
  </si>
  <si>
    <t>TP01A</t>
  </si>
  <si>
    <t>CAA0275</t>
  </si>
  <si>
    <t>ARAVINDH R</t>
  </si>
  <si>
    <t>CAA1319</t>
  </si>
  <si>
    <t>NISHA S</t>
  </si>
  <si>
    <t>CAA2137</t>
  </si>
  <si>
    <t>Prabu M</t>
  </si>
  <si>
    <t>CAA0724</t>
  </si>
  <si>
    <t>Logarajan M</t>
  </si>
  <si>
    <t>CAA1613</t>
  </si>
  <si>
    <t>Vignesh M</t>
  </si>
  <si>
    <t>CAA1110</t>
  </si>
  <si>
    <t>Suganth Divyan L</t>
  </si>
  <si>
    <t>CAA2083</t>
  </si>
  <si>
    <t>Kanigaivendhan N</t>
  </si>
  <si>
    <t>DT01A</t>
  </si>
  <si>
    <t>CAA0740</t>
  </si>
  <si>
    <t>Eswaran C</t>
  </si>
  <si>
    <t>TP01B</t>
  </si>
  <si>
    <t>CAA0384</t>
  </si>
  <si>
    <t>Sakthivel P</t>
  </si>
  <si>
    <t>Team Leader</t>
  </si>
  <si>
    <t>TP01C</t>
  </si>
  <si>
    <t>CAA1963</t>
  </si>
  <si>
    <t>Iyyappan S</t>
  </si>
  <si>
    <t>Darshan S</t>
  </si>
  <si>
    <t>Rajkumar I</t>
  </si>
  <si>
    <t>SATHISH M</t>
  </si>
  <si>
    <t>ABISHEK M</t>
  </si>
  <si>
    <t>Sherin Jaslin</t>
  </si>
  <si>
    <t>Ashwin  B S</t>
  </si>
  <si>
    <t>GOBITH P (KIRUBAKARAN R)</t>
  </si>
  <si>
    <t>Santhanamutheeshwaran G</t>
  </si>
  <si>
    <t>Prakash S</t>
  </si>
  <si>
    <t>Karthick S</t>
  </si>
  <si>
    <t>VACANT</t>
  </si>
  <si>
    <t>THIRUMALAISAMI DEIVASIGAMANI</t>
  </si>
  <si>
    <t>Priyadharshini S</t>
  </si>
  <si>
    <t>CAA0206</t>
  </si>
  <si>
    <t>SRIDHAR N</t>
  </si>
  <si>
    <t>TL/AM/DM/Manager  Marketing</t>
  </si>
  <si>
    <t>Executive Grade 3 (E3)-A</t>
  </si>
  <si>
    <t>CAA2515</t>
  </si>
  <si>
    <t>CAA2523</t>
  </si>
  <si>
    <t>CAA2431</t>
  </si>
  <si>
    <t>CAA2526</t>
  </si>
  <si>
    <t>CAA2219</t>
  </si>
  <si>
    <t>CAA2426</t>
  </si>
  <si>
    <t>CAA0592</t>
  </si>
  <si>
    <t>CAA0158</t>
  </si>
  <si>
    <t>CAA2741</t>
  </si>
  <si>
    <t>ARTHANARIESWARAN V</t>
  </si>
  <si>
    <t>Executive Traniee</t>
  </si>
  <si>
    <t>CAA2638</t>
  </si>
  <si>
    <t>AMC</t>
  </si>
  <si>
    <t>IC</t>
  </si>
  <si>
    <t>Bactakleen</t>
  </si>
  <si>
    <t>VAS Veh (Units)</t>
  </si>
  <si>
    <t>VAS Treatment (No.s)</t>
  </si>
  <si>
    <t>VAS Value</t>
  </si>
  <si>
    <t>Body Coating</t>
  </si>
  <si>
    <t>Graphene</t>
  </si>
  <si>
    <t>DIY Product</t>
  </si>
  <si>
    <t>Accessories</t>
  </si>
  <si>
    <t>GS TO BP Conversion Paint Veh.Only</t>
  </si>
  <si>
    <t>NCDS Sample</t>
  </si>
  <si>
    <t>Promoters</t>
  </si>
  <si>
    <t>Neutral</t>
  </si>
  <si>
    <t>Detractor</t>
  </si>
  <si>
    <t>TKM VOC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</si>
  <si>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</si>
  <si>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</si>
  <si>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</si>
  <si>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</si>
  <si>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</si>
  <si>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</si>
  <si>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</si>
  <si>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</si>
  <si>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</si>
  <si>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</si>
  <si>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</si>
  <si>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YTD</t>
  </si>
  <si>
    <t>Parameter</t>
  </si>
  <si>
    <t>First 1K~30K</t>
  </si>
  <si>
    <t>Ceramic</t>
  </si>
  <si>
    <t>Plastic Care</t>
  </si>
  <si>
    <t>Every 10K</t>
  </si>
  <si>
    <t>AC Duct &amp; Dis</t>
  </si>
  <si>
    <t>Every 20K</t>
  </si>
  <si>
    <t>Odour &amp; Dis</t>
  </si>
  <si>
    <t>Every 30K</t>
  </si>
  <si>
    <t>Prem.Interior</t>
  </si>
  <si>
    <t xml:space="preserve">Every 40K </t>
  </si>
  <si>
    <t>Evap. Clean</t>
  </si>
  <si>
    <t>Every 50K</t>
  </si>
  <si>
    <t>Prem. Exterior</t>
  </si>
  <si>
    <t>Every 60k</t>
  </si>
  <si>
    <t>Silencer Coat</t>
  </si>
  <si>
    <t>Every 70k</t>
  </si>
  <si>
    <t>Rat Repellent</t>
  </si>
  <si>
    <t>No Kms</t>
  </si>
  <si>
    <t>Alloy Wheel</t>
  </si>
  <si>
    <t>Every 80K</t>
  </si>
  <si>
    <t>Windshield</t>
  </si>
  <si>
    <t>Every 90K</t>
  </si>
  <si>
    <t>IPP</t>
  </si>
  <si>
    <t>Every 100K</t>
  </si>
  <si>
    <t>Underbody</t>
  </si>
  <si>
    <t>Headlamp</t>
  </si>
  <si>
    <t>PM Recomandation</t>
  </si>
  <si>
    <t>Treatment</t>
  </si>
  <si>
    <t>Treatment No's</t>
  </si>
  <si>
    <t>Ach %</t>
  </si>
  <si>
    <t>T-Gloss Treatment Wise Performance</t>
  </si>
  <si>
    <t>Tyre No.s</t>
  </si>
  <si>
    <t>Battery No.s</t>
  </si>
  <si>
    <t>Tyre PM Conv %</t>
  </si>
  <si>
    <t>Battery PM Conv %</t>
  </si>
  <si>
    <t>W/A PM Conv %</t>
  </si>
  <si>
    <t>AMC PM Conv %</t>
  </si>
  <si>
    <t>IC PM Conv %</t>
  </si>
  <si>
    <t>EF PM Conv %</t>
  </si>
  <si>
    <t>BK PM Conv %</t>
  </si>
  <si>
    <t>GUS vs PM Ratio</t>
  </si>
  <si>
    <t>GUS Penet %</t>
  </si>
  <si>
    <t>T-Gloss Gentan-i</t>
  </si>
  <si>
    <t>DIY /PM</t>
  </si>
  <si>
    <t>NPS Response Rate</t>
  </si>
  <si>
    <t>IVOC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</si>
</sst>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theme="8" tint="0.39997558519241921"/>
      </left>
      <right/>
      <top style="medium">
        <color theme="8" tint="0.39997558519241921"/>
      </top>
      <bottom style="medium">
        <color theme="8" tint="0.39997558519241921"/>
      </bottom>
      <diagonal/>
    </border>
    <border>
      <left/>
      <right/>
      <top style="medium">
        <color theme="8" tint="0.39997558519241921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medium">
        <color theme="8" tint="0.39997558519241921"/>
      </top>
      <bottom style="medium">
        <color theme="8" tint="0.39997558519241921"/>
      </bottom>
      <diagonal/>
    </border>
    <border>
      <left style="medium">
        <color theme="8" tint="0.39997558519241921"/>
      </left>
      <right/>
      <top style="medium">
        <color theme="8" tint="0.39997558519241921"/>
      </top>
      <bottom/>
      <diagonal/>
    </border>
    <border>
      <left/>
      <right/>
      <top style="medium">
        <color theme="8" tint="0.39997558519241921"/>
      </top>
      <bottom/>
      <diagonal/>
    </border>
    <border>
      <left/>
      <right style="medium">
        <color theme="8" tint="0.39997558519241921"/>
      </right>
      <top style="medium">
        <color theme="8" tint="0.39997558519241921"/>
      </top>
      <bottom/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 style="thin">
        <color theme="8" tint="0.39997558519241921"/>
      </right>
      <top/>
      <bottom/>
      <diagonal/>
    </border>
    <border>
      <left style="thin">
        <color theme="8" tint="0.39997558519241921"/>
      </left>
      <right style="thin">
        <color theme="8" tint="0.39997558519241921"/>
      </right>
      <top/>
      <bottom style="thin">
        <color theme="8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2" xfId="1" applyNumberFormat="1" applyFont="1" applyBorder="1" applyAlignment="1">
      <alignment horizontal="center" vertical="center"/>
    </xf>
    <xf numFmtId="9" fontId="3" fillId="0" borderId="2" xfId="1" applyFont="1" applyBorder="1" applyAlignment="1">
      <alignment horizontal="center" vertical="center" wrapText="1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5" fontId="4" fillId="0" borderId="1" xfId="1" applyNumberFormat="1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F06C0F-0F29-4340-8E9C-D5EA20FFB6DD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NULu4kQWvIdwOn0zqH2j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9A84-1F6E-4200-A842-47010C691ADC}">
  <sheetPr>
    <tabColor theme="9"/>
  </sheetPr>
  <dimension ref="B1:R90"/>
  <sheetViews>
    <sheetView zoomScale="130" zoomScaleNormal="130" workbookViewId="0">
      <selection activeCell="F20" sqref="F20"/>
    </sheetView>
  </sheetViews>
  <sheetFormatPr defaultRowHeight="16.8" customHeight="1" x14ac:dyDescent="0.3"/>
  <cols>
    <col min="1" max="1" width="1.77734375" style="1" customWidth="1"/>
    <col min="2" max="2" width="0.6640625" style="1" customWidth="1"/>
    <col min="3" max="3" width="12.6640625" style="1" customWidth="1"/>
    <col min="4" max="4" width="16.44140625" style="1" customWidth="1"/>
    <col min="5" max="17" width="8.77734375" style="1" customWidth="1"/>
    <col min="18" max="18" width="1" style="1" customWidth="1"/>
    <col min="19" max="16384" width="8.88671875" style="1"/>
  </cols>
  <sheetData>
    <row r="1" spans="2:18" ht="16.8" customHeight="1" thickBot="1" x14ac:dyDescent="0.35"/>
    <row r="2" spans="2:18" ht="4.8" customHeight="1" thickBot="1" x14ac:dyDescent="0.35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5"/>
    </row>
    <row r="3" spans="2:18" ht="20.399999999999999" customHeight="1" thickBot="1" x14ac:dyDescent="0.35">
      <c r="B3" s="26"/>
      <c r="C3" s="40" t="s">
        <v>0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  <c r="R3" s="27"/>
    </row>
    <row r="4" spans="2:18" ht="3.6" customHeight="1" x14ac:dyDescent="0.3">
      <c r="B4" s="26"/>
      <c r="R4" s="27"/>
    </row>
    <row r="5" spans="2:18" ht="18" customHeight="1" x14ac:dyDescent="0.3">
      <c r="B5" s="26"/>
      <c r="C5" s="2" t="s">
        <v>1</v>
      </c>
      <c r="D5" s="12" t="s">
        <v>2</v>
      </c>
      <c r="F5" s="2" t="s">
        <v>3</v>
      </c>
      <c r="G5" s="12" t="s">
        <v>4</v>
      </c>
      <c r="R5" s="27"/>
    </row>
    <row r="6" spans="2:18" ht="3.6" customHeight="1" x14ac:dyDescent="0.3">
      <c r="B6" s="26"/>
      <c r="R6" s="27"/>
    </row>
    <row r="7" spans="2:18" ht="19.2" customHeight="1" x14ac:dyDescent="0.3">
      <c r="B7" s="26"/>
      <c r="C7" s="13" t="s">
        <v>203</v>
      </c>
      <c r="D7" s="13" t="s">
        <v>5</v>
      </c>
      <c r="E7" s="13" t="s">
        <v>191</v>
      </c>
      <c r="F7" s="13" t="s">
        <v>192</v>
      </c>
      <c r="G7" s="13" t="s">
        <v>193</v>
      </c>
      <c r="H7" s="13" t="s">
        <v>194</v>
      </c>
      <c r="I7" s="13" t="s">
        <v>39</v>
      </c>
      <c r="J7" s="13" t="s">
        <v>195</v>
      </c>
      <c r="K7" s="13" t="s">
        <v>196</v>
      </c>
      <c r="L7" s="13" t="s">
        <v>197</v>
      </c>
      <c r="M7" s="13" t="s">
        <v>198</v>
      </c>
      <c r="N7" s="13" t="s">
        <v>199</v>
      </c>
      <c r="O7" s="13" t="s">
        <v>200</v>
      </c>
      <c r="P7" s="13" t="s">
        <v>201</v>
      </c>
      <c r="Q7" s="15" t="s">
        <v>202</v>
      </c>
      <c r="R7" s="27"/>
    </row>
    <row r="8" spans="2:18" ht="15" customHeight="1" x14ac:dyDescent="0.3">
      <c r="B8" s="28"/>
      <c r="C8" s="44" t="s">
        <v>23</v>
      </c>
      <c r="D8" s="4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7"/>
    </row>
    <row r="9" spans="2:18" ht="15" customHeight="1" x14ac:dyDescent="0.3">
      <c r="B9" s="26"/>
      <c r="C9" s="43" t="s">
        <v>8</v>
      </c>
      <c r="D9" s="43"/>
      <c r="E9" s="20">
        <v>135.30000000000001</v>
      </c>
      <c r="F9" s="20">
        <v>166.05</v>
      </c>
      <c r="G9" s="20">
        <v>127.92</v>
      </c>
      <c r="H9" s="20">
        <v>191.88</v>
      </c>
      <c r="I9" s="20">
        <v>212.79</v>
      </c>
      <c r="J9" s="20">
        <v>87.33</v>
      </c>
      <c r="K9" s="20">
        <v>182.04</v>
      </c>
      <c r="L9" s="20">
        <v>201.72</v>
      </c>
      <c r="M9" s="20">
        <v>216.48</v>
      </c>
      <c r="N9" s="20">
        <v>172.2</v>
      </c>
      <c r="O9" s="20">
        <v>172.2</v>
      </c>
      <c r="P9" s="20">
        <v>172.2</v>
      </c>
      <c r="Q9" s="21">
        <v>2038.1100000000004</v>
      </c>
      <c r="R9" s="27"/>
    </row>
    <row r="10" spans="2:18" ht="15" customHeight="1" x14ac:dyDescent="0.3">
      <c r="B10" s="26"/>
      <c r="C10" s="43" t="s">
        <v>9</v>
      </c>
      <c r="D10" s="43"/>
      <c r="E10" s="16">
        <v>110</v>
      </c>
      <c r="F10" s="17">
        <v>135</v>
      </c>
      <c r="G10" s="17">
        <v>104</v>
      </c>
      <c r="H10" s="17">
        <v>156</v>
      </c>
      <c r="I10" s="18">
        <v>173</v>
      </c>
      <c r="J10" s="17">
        <v>71</v>
      </c>
      <c r="K10" s="18">
        <v>148</v>
      </c>
      <c r="L10" s="17">
        <v>164</v>
      </c>
      <c r="M10" s="18">
        <v>176</v>
      </c>
      <c r="N10" s="17">
        <v>140</v>
      </c>
      <c r="O10" s="17">
        <v>140</v>
      </c>
      <c r="P10" s="17">
        <v>140</v>
      </c>
      <c r="Q10" s="18">
        <f>SUM(E10:P10)</f>
        <v>1657</v>
      </c>
      <c r="R10" s="27"/>
    </row>
    <row r="11" spans="2:18" ht="15" customHeight="1" x14ac:dyDescent="0.3">
      <c r="B11" s="26"/>
      <c r="C11" s="43" t="s">
        <v>10</v>
      </c>
      <c r="D11" s="13" t="s">
        <v>24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16">
        <v>8</v>
      </c>
      <c r="L11" s="16">
        <v>9</v>
      </c>
      <c r="M11" s="16">
        <v>10</v>
      </c>
      <c r="N11" s="16">
        <v>11</v>
      </c>
      <c r="O11" s="16">
        <v>12</v>
      </c>
      <c r="P11" s="16">
        <v>13</v>
      </c>
      <c r="Q11" s="16">
        <v>14</v>
      </c>
      <c r="R11" s="27"/>
    </row>
    <row r="12" spans="2:18" ht="15" customHeight="1" x14ac:dyDescent="0.3">
      <c r="B12" s="26"/>
      <c r="C12" s="43"/>
      <c r="D12" s="13" t="s">
        <v>25</v>
      </c>
      <c r="E12" s="22">
        <f>IFERROR(E11/E$10,"")</f>
        <v>1.8181818181818181E-2</v>
      </c>
      <c r="F12" s="22">
        <f>IFERROR(F11/F$10,"")</f>
        <v>2.2222222222222223E-2</v>
      </c>
      <c r="G12" s="22">
        <f>IFERROR(G11/G$10,"")</f>
        <v>3.8461538461538464E-2</v>
      </c>
      <c r="H12" s="22">
        <f>IFERROR(H11/H$10,"")</f>
        <v>3.2051282051282048E-2</v>
      </c>
      <c r="I12" s="22">
        <f t="shared" ref="I12:Q12" si="0">IFERROR(I11/I$10,"")</f>
        <v>3.4682080924855488E-2</v>
      </c>
      <c r="J12" s="22">
        <f t="shared" si="0"/>
        <v>9.8591549295774641E-2</v>
      </c>
      <c r="K12" s="22">
        <f t="shared" si="0"/>
        <v>5.4054054054054057E-2</v>
      </c>
      <c r="L12" s="22">
        <f t="shared" si="0"/>
        <v>5.4878048780487805E-2</v>
      </c>
      <c r="M12" s="22">
        <f t="shared" si="0"/>
        <v>5.6818181818181816E-2</v>
      </c>
      <c r="N12" s="22">
        <f t="shared" si="0"/>
        <v>7.857142857142857E-2</v>
      </c>
      <c r="O12" s="22">
        <f t="shared" si="0"/>
        <v>8.5714285714285715E-2</v>
      </c>
      <c r="P12" s="22">
        <f t="shared" si="0"/>
        <v>9.285714285714286E-2</v>
      </c>
      <c r="Q12" s="22">
        <f t="shared" si="0"/>
        <v>8.4490042245021126E-3</v>
      </c>
      <c r="R12" s="27"/>
    </row>
    <row r="13" spans="2:18" ht="15" customHeight="1" x14ac:dyDescent="0.3">
      <c r="B13" s="26"/>
      <c r="C13" s="43" t="s">
        <v>11</v>
      </c>
      <c r="D13" s="13" t="s">
        <v>24</v>
      </c>
      <c r="E13" s="16">
        <v>2</v>
      </c>
      <c r="F13" s="17"/>
      <c r="G13" s="17"/>
      <c r="H13" s="17"/>
      <c r="I13" s="18"/>
      <c r="J13" s="17"/>
      <c r="K13" s="18"/>
      <c r="L13" s="17"/>
      <c r="M13" s="18"/>
      <c r="N13" s="17"/>
      <c r="O13" s="18"/>
      <c r="P13" s="17"/>
      <c r="Q13" s="18"/>
      <c r="R13" s="27"/>
    </row>
    <row r="14" spans="2:18" ht="15" customHeight="1" x14ac:dyDescent="0.3">
      <c r="B14" s="26"/>
      <c r="C14" s="43"/>
      <c r="D14" s="13" t="s">
        <v>25</v>
      </c>
      <c r="E14" s="22">
        <f>IFERROR(E13/E$10,"")</f>
        <v>1.8181818181818181E-2</v>
      </c>
      <c r="F14" s="22">
        <f>IFERROR(F13/F$10,"")</f>
        <v>0</v>
      </c>
      <c r="G14" s="22">
        <f>IFERROR(G13/G$10,"")</f>
        <v>0</v>
      </c>
      <c r="H14" s="22">
        <f>IFERROR(H13/H$10,"")</f>
        <v>0</v>
      </c>
      <c r="I14" s="22">
        <f t="shared" ref="I14" si="1">IFERROR(I13/I$10,"")</f>
        <v>0</v>
      </c>
      <c r="J14" s="22">
        <f t="shared" ref="J14" si="2">IFERROR(J13/J$10,"")</f>
        <v>0</v>
      </c>
      <c r="K14" s="22">
        <f t="shared" ref="K14" si="3">IFERROR(K13/K$10,"")</f>
        <v>0</v>
      </c>
      <c r="L14" s="22">
        <f t="shared" ref="L14" si="4">IFERROR(L13/L$10,"")</f>
        <v>0</v>
      </c>
      <c r="M14" s="22">
        <f t="shared" ref="M14" si="5">IFERROR(M13/M$10,"")</f>
        <v>0</v>
      </c>
      <c r="N14" s="22">
        <f t="shared" ref="N14" si="6">IFERROR(N13/N$10,"")</f>
        <v>0</v>
      </c>
      <c r="O14" s="22">
        <f t="shared" ref="O14" si="7">IFERROR(O13/O$10,"")</f>
        <v>0</v>
      </c>
      <c r="P14" s="22">
        <f t="shared" ref="P14" si="8">IFERROR(P13/P$10,"")</f>
        <v>0</v>
      </c>
      <c r="Q14" s="22">
        <f t="shared" ref="Q14" si="9">IFERROR(Q13/Q$10,"")</f>
        <v>0</v>
      </c>
      <c r="R14" s="27"/>
    </row>
    <row r="15" spans="2:18" ht="15" customHeight="1" x14ac:dyDescent="0.3">
      <c r="B15" s="26"/>
      <c r="C15" s="43" t="s">
        <v>12</v>
      </c>
      <c r="D15" s="13" t="s">
        <v>24</v>
      </c>
      <c r="E15" s="16"/>
      <c r="F15" s="17"/>
      <c r="G15" s="17"/>
      <c r="H15" s="17"/>
      <c r="I15" s="18" t="str">
        <f>IFERROR(H15/$G$15,"")</f>
        <v/>
      </c>
      <c r="J15" s="17"/>
      <c r="K15" s="18" t="str">
        <f>IFERROR(J15/$G$15,"")</f>
        <v/>
      </c>
      <c r="L15" s="17"/>
      <c r="M15" s="18" t="str">
        <f>IFERROR(L15/$G$15,"")</f>
        <v/>
      </c>
      <c r="N15" s="17"/>
      <c r="O15" s="18" t="str">
        <f>IFERROR(N15/$G$15,"")</f>
        <v/>
      </c>
      <c r="P15" s="17"/>
      <c r="Q15" s="18" t="str">
        <f>IFERROR(P15/$G$15,"")</f>
        <v/>
      </c>
      <c r="R15" s="27"/>
    </row>
    <row r="16" spans="2:18" ht="15" customHeight="1" x14ac:dyDescent="0.3">
      <c r="B16" s="26"/>
      <c r="C16" s="43"/>
      <c r="D16" s="13" t="s">
        <v>25</v>
      </c>
      <c r="E16" s="22">
        <f>IFERROR(E15/E$10,"")</f>
        <v>0</v>
      </c>
      <c r="F16" s="22">
        <f>IFERROR(F15/F$10,"")</f>
        <v>0</v>
      </c>
      <c r="G16" s="22">
        <f>IFERROR(G15/G$10,"")</f>
        <v>0</v>
      </c>
      <c r="H16" s="22">
        <f>IFERROR(H15/H$10,"")</f>
        <v>0</v>
      </c>
      <c r="I16" s="22" t="str">
        <f t="shared" ref="I16" si="10">IFERROR(I15/I$10,"")</f>
        <v/>
      </c>
      <c r="J16" s="22">
        <f t="shared" ref="J16" si="11">IFERROR(J15/J$10,"")</f>
        <v>0</v>
      </c>
      <c r="K16" s="22" t="str">
        <f t="shared" ref="K16" si="12">IFERROR(K15/K$10,"")</f>
        <v/>
      </c>
      <c r="L16" s="22">
        <f t="shared" ref="L16" si="13">IFERROR(L15/L$10,"")</f>
        <v>0</v>
      </c>
      <c r="M16" s="22" t="str">
        <f t="shared" ref="M16" si="14">IFERROR(M15/M$10,"")</f>
        <v/>
      </c>
      <c r="N16" s="22">
        <f t="shared" ref="N16" si="15">IFERROR(N15/N$10,"")</f>
        <v>0</v>
      </c>
      <c r="O16" s="22" t="str">
        <f t="shared" ref="O16" si="16">IFERROR(O15/O$10,"")</f>
        <v/>
      </c>
      <c r="P16" s="22">
        <f t="shared" ref="P16" si="17">IFERROR(P15/P$10,"")</f>
        <v>0</v>
      </c>
      <c r="Q16" s="22" t="str">
        <f t="shared" ref="Q16" si="18">IFERROR(Q15/Q$10,"")</f>
        <v/>
      </c>
      <c r="R16" s="27"/>
    </row>
    <row r="17" spans="2:18" ht="15" customHeight="1" x14ac:dyDescent="0.3">
      <c r="B17" s="26"/>
      <c r="C17" s="43" t="s">
        <v>13</v>
      </c>
      <c r="D17" s="13" t="s">
        <v>24</v>
      </c>
      <c r="E17" s="16"/>
      <c r="F17" s="17"/>
      <c r="G17" s="17"/>
      <c r="H17" s="17"/>
      <c r="I17" s="18" t="str">
        <f>IFERROR(H17/$G$17,"")</f>
        <v/>
      </c>
      <c r="J17" s="17"/>
      <c r="K17" s="18" t="str">
        <f>IFERROR(J17/$G$17,"")</f>
        <v/>
      </c>
      <c r="L17" s="17"/>
      <c r="M17" s="18" t="str">
        <f>IFERROR(L17/$G$17,"")</f>
        <v/>
      </c>
      <c r="N17" s="17"/>
      <c r="O17" s="18" t="str">
        <f>IFERROR(N17/$G$17,"")</f>
        <v/>
      </c>
      <c r="P17" s="17"/>
      <c r="Q17" s="18" t="str">
        <f>IFERROR(P17/$G$17,"")</f>
        <v/>
      </c>
      <c r="R17" s="27"/>
    </row>
    <row r="18" spans="2:18" ht="15" customHeight="1" x14ac:dyDescent="0.3">
      <c r="B18" s="26"/>
      <c r="C18" s="43"/>
      <c r="D18" s="13" t="s">
        <v>25</v>
      </c>
      <c r="E18" s="22">
        <f>IFERROR(E17/E$10,"")</f>
        <v>0</v>
      </c>
      <c r="F18" s="22">
        <f>IFERROR(F17/F$10,"")</f>
        <v>0</v>
      </c>
      <c r="G18" s="22">
        <f>IFERROR(G17/G$10,"")</f>
        <v>0</v>
      </c>
      <c r="H18" s="22">
        <f>IFERROR(H17/H$10,"")</f>
        <v>0</v>
      </c>
      <c r="I18" s="22" t="str">
        <f t="shared" ref="I18" si="19">IFERROR(I17/I$10,"")</f>
        <v/>
      </c>
      <c r="J18" s="22">
        <f t="shared" ref="J18" si="20">IFERROR(J17/J$10,"")</f>
        <v>0</v>
      </c>
      <c r="K18" s="22" t="str">
        <f t="shared" ref="K18" si="21">IFERROR(K17/K$10,"")</f>
        <v/>
      </c>
      <c r="L18" s="22">
        <f t="shared" ref="L18" si="22">IFERROR(L17/L$10,"")</f>
        <v>0</v>
      </c>
      <c r="M18" s="22" t="str">
        <f t="shared" ref="M18" si="23">IFERROR(M17/M$10,"")</f>
        <v/>
      </c>
      <c r="N18" s="22">
        <f t="shared" ref="N18" si="24">IFERROR(N17/N$10,"")</f>
        <v>0</v>
      </c>
      <c r="O18" s="22" t="str">
        <f t="shared" ref="O18" si="25">IFERROR(O17/O$10,"")</f>
        <v/>
      </c>
      <c r="P18" s="22">
        <f t="shared" ref="P18" si="26">IFERROR(P17/P$10,"")</f>
        <v>0</v>
      </c>
      <c r="Q18" s="22" t="str">
        <f t="shared" ref="Q18" si="27">IFERROR(Q17/Q$10,"")</f>
        <v/>
      </c>
      <c r="R18" s="27"/>
    </row>
    <row r="19" spans="2:18" ht="15" customHeight="1" x14ac:dyDescent="0.3">
      <c r="B19" s="26"/>
      <c r="C19" s="43" t="s">
        <v>14</v>
      </c>
      <c r="D19" s="13" t="s">
        <v>24</v>
      </c>
      <c r="E19" s="16"/>
      <c r="F19" s="17"/>
      <c r="G19" s="17"/>
      <c r="H19" s="17"/>
      <c r="I19" s="18" t="str">
        <f>IFERROR(H19/$G$19,"")</f>
        <v/>
      </c>
      <c r="J19" s="17"/>
      <c r="K19" s="18" t="str">
        <f>IFERROR(J19/$G$19,"")</f>
        <v/>
      </c>
      <c r="L19" s="17"/>
      <c r="M19" s="18" t="str">
        <f>IFERROR(L19/$G$19,"")</f>
        <v/>
      </c>
      <c r="N19" s="17"/>
      <c r="O19" s="18" t="str">
        <f>IFERROR(N19/$G$19,"")</f>
        <v/>
      </c>
      <c r="P19" s="17"/>
      <c r="Q19" s="18" t="str">
        <f>IFERROR(P19/$G$19,"")</f>
        <v/>
      </c>
      <c r="R19" s="27"/>
    </row>
    <row r="20" spans="2:18" ht="15" customHeight="1" x14ac:dyDescent="0.3">
      <c r="B20" s="26"/>
      <c r="C20" s="43"/>
      <c r="D20" s="13" t="s">
        <v>25</v>
      </c>
      <c r="E20" s="22">
        <f>IFERROR(E19/E$10,"")</f>
        <v>0</v>
      </c>
      <c r="F20" s="22">
        <f>IFERROR(F19/F$10,"")</f>
        <v>0</v>
      </c>
      <c r="G20" s="22">
        <f>IFERROR(G19/G$10,"")</f>
        <v>0</v>
      </c>
      <c r="H20" s="22">
        <f>IFERROR(H19/H$10,"")</f>
        <v>0</v>
      </c>
      <c r="I20" s="22" t="str">
        <f t="shared" ref="I20" si="28">IFERROR(I19/I$10,"")</f>
        <v/>
      </c>
      <c r="J20" s="22">
        <f t="shared" ref="J20" si="29">IFERROR(J19/J$10,"")</f>
        <v>0</v>
      </c>
      <c r="K20" s="22" t="str">
        <f t="shared" ref="K20" si="30">IFERROR(K19/K$10,"")</f>
        <v/>
      </c>
      <c r="L20" s="22">
        <f t="shared" ref="L20" si="31">IFERROR(L19/L$10,"")</f>
        <v>0</v>
      </c>
      <c r="M20" s="22" t="str">
        <f t="shared" ref="M20" si="32">IFERROR(M19/M$10,"")</f>
        <v/>
      </c>
      <c r="N20" s="22">
        <f t="shared" ref="N20" si="33">IFERROR(N19/N$10,"")</f>
        <v>0</v>
      </c>
      <c r="O20" s="22" t="str">
        <f t="shared" ref="O20" si="34">IFERROR(O19/O$10,"")</f>
        <v/>
      </c>
      <c r="P20" s="22">
        <f t="shared" ref="P20" si="35">IFERROR(P19/P$10,"")</f>
        <v>0</v>
      </c>
      <c r="Q20" s="22" t="str">
        <f t="shared" ref="Q20" si="36">IFERROR(Q19/Q$10,"")</f>
        <v/>
      </c>
      <c r="R20" s="27"/>
    </row>
    <row r="21" spans="2:18" ht="15" customHeight="1" x14ac:dyDescent="0.3">
      <c r="B21" s="26"/>
      <c r="C21" s="43" t="s">
        <v>15</v>
      </c>
      <c r="D21" s="13" t="s">
        <v>24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7"/>
    </row>
    <row r="22" spans="2:18" ht="15" customHeight="1" x14ac:dyDescent="0.3">
      <c r="B22" s="26"/>
      <c r="C22" s="43"/>
      <c r="D22" s="13" t="s">
        <v>25</v>
      </c>
      <c r="E22" s="22">
        <f>IFERROR(E21/E$10,"")</f>
        <v>0</v>
      </c>
      <c r="F22" s="22">
        <f>IFERROR(F21/F$10,"")</f>
        <v>0</v>
      </c>
      <c r="G22" s="22">
        <f>IFERROR(G21/G$10,"")</f>
        <v>0</v>
      </c>
      <c r="H22" s="22">
        <f>IFERROR(H21/H$10,"")</f>
        <v>0</v>
      </c>
      <c r="I22" s="22">
        <f t="shared" ref="I22" si="37">IFERROR(I21/I$10,"")</f>
        <v>0</v>
      </c>
      <c r="J22" s="22">
        <f t="shared" ref="J22" si="38">IFERROR(J21/J$10,"")</f>
        <v>0</v>
      </c>
      <c r="K22" s="22">
        <f t="shared" ref="K22" si="39">IFERROR(K21/K$10,"")</f>
        <v>0</v>
      </c>
      <c r="L22" s="22">
        <f t="shared" ref="L22" si="40">IFERROR(L21/L$10,"")</f>
        <v>0</v>
      </c>
      <c r="M22" s="22">
        <f t="shared" ref="M22" si="41">IFERROR(M21/M$10,"")</f>
        <v>0</v>
      </c>
      <c r="N22" s="22">
        <f t="shared" ref="N22" si="42">IFERROR(N21/N$10,"")</f>
        <v>0</v>
      </c>
      <c r="O22" s="22">
        <f t="shared" ref="O22" si="43">IFERROR(O21/O$10,"")</f>
        <v>0</v>
      </c>
      <c r="P22" s="22">
        <f t="shared" ref="P22" si="44">IFERROR(P21/P$10,"")</f>
        <v>0</v>
      </c>
      <c r="Q22" s="22">
        <f t="shared" ref="Q22" si="45">IFERROR(Q21/Q$10,"")</f>
        <v>0</v>
      </c>
      <c r="R22" s="27"/>
    </row>
    <row r="23" spans="2:18" ht="15" customHeight="1" x14ac:dyDescent="0.3">
      <c r="B23" s="28"/>
      <c r="C23" s="43" t="s">
        <v>16</v>
      </c>
      <c r="D23" s="43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27"/>
    </row>
    <row r="24" spans="2:18" ht="15" customHeight="1" x14ac:dyDescent="0.3">
      <c r="B24" s="28"/>
      <c r="C24" s="43" t="s">
        <v>17</v>
      </c>
      <c r="D24" s="13" t="s">
        <v>26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27"/>
    </row>
    <row r="25" spans="2:18" ht="15" customHeight="1" x14ac:dyDescent="0.3">
      <c r="B25" s="28"/>
      <c r="C25" s="43"/>
      <c r="D25" s="13" t="s">
        <v>24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27"/>
    </row>
    <row r="26" spans="2:18" ht="15" customHeight="1" x14ac:dyDescent="0.3">
      <c r="B26" s="28"/>
      <c r="C26" s="43"/>
      <c r="D26" s="13" t="s">
        <v>27</v>
      </c>
      <c r="E26" s="22">
        <f>IFERROR(E24/E$9,"")</f>
        <v>0</v>
      </c>
      <c r="F26" s="22">
        <f t="shared" ref="F26:Q26" si="46">IFERROR(F24/F$9,"")</f>
        <v>0</v>
      </c>
      <c r="G26" s="22">
        <f t="shared" si="46"/>
        <v>0</v>
      </c>
      <c r="H26" s="22">
        <f t="shared" si="46"/>
        <v>0</v>
      </c>
      <c r="I26" s="22">
        <f t="shared" si="46"/>
        <v>0</v>
      </c>
      <c r="J26" s="22">
        <f t="shared" si="46"/>
        <v>0</v>
      </c>
      <c r="K26" s="22">
        <f t="shared" si="46"/>
        <v>0</v>
      </c>
      <c r="L26" s="22">
        <f t="shared" si="46"/>
        <v>0</v>
      </c>
      <c r="M26" s="22">
        <f t="shared" si="46"/>
        <v>0</v>
      </c>
      <c r="N26" s="22">
        <f t="shared" si="46"/>
        <v>0</v>
      </c>
      <c r="O26" s="22">
        <f t="shared" si="46"/>
        <v>0</v>
      </c>
      <c r="P26" s="22">
        <f t="shared" si="46"/>
        <v>0</v>
      </c>
      <c r="Q26" s="22">
        <f t="shared" si="46"/>
        <v>0</v>
      </c>
      <c r="R26" s="27"/>
    </row>
    <row r="27" spans="2:18" ht="15" customHeight="1" x14ac:dyDescent="0.3">
      <c r="B27" s="28"/>
      <c r="C27" s="43"/>
      <c r="D27" s="13" t="s">
        <v>28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27"/>
    </row>
    <row r="28" spans="2:18" ht="15" customHeight="1" x14ac:dyDescent="0.3">
      <c r="B28" s="28"/>
      <c r="C28" s="43" t="s">
        <v>18</v>
      </c>
      <c r="D28" s="13" t="s">
        <v>24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27"/>
    </row>
    <row r="29" spans="2:18" ht="15" customHeight="1" x14ac:dyDescent="0.3">
      <c r="B29" s="28"/>
      <c r="C29" s="43"/>
      <c r="D29" s="13" t="s">
        <v>29</v>
      </c>
      <c r="E29" s="22">
        <f>IFERROR(E28/E$9,"")</f>
        <v>0</v>
      </c>
      <c r="F29" s="22">
        <f t="shared" ref="F29:Q29" si="47">IFERROR(F28/F$9,"")</f>
        <v>0</v>
      </c>
      <c r="G29" s="22">
        <f t="shared" si="47"/>
        <v>0</v>
      </c>
      <c r="H29" s="22">
        <f t="shared" si="47"/>
        <v>0</v>
      </c>
      <c r="I29" s="22">
        <f t="shared" si="47"/>
        <v>0</v>
      </c>
      <c r="J29" s="22">
        <f t="shared" si="47"/>
        <v>0</v>
      </c>
      <c r="K29" s="22">
        <f t="shared" si="47"/>
        <v>0</v>
      </c>
      <c r="L29" s="22">
        <f t="shared" si="47"/>
        <v>0</v>
      </c>
      <c r="M29" s="22">
        <f t="shared" si="47"/>
        <v>0</v>
      </c>
      <c r="N29" s="22">
        <f t="shared" si="47"/>
        <v>0</v>
      </c>
      <c r="O29" s="22">
        <f t="shared" si="47"/>
        <v>0</v>
      </c>
      <c r="P29" s="22">
        <f t="shared" si="47"/>
        <v>0</v>
      </c>
      <c r="Q29" s="22">
        <f t="shared" si="47"/>
        <v>0</v>
      </c>
      <c r="R29" s="27"/>
    </row>
    <row r="30" spans="2:18" ht="15" customHeight="1" x14ac:dyDescent="0.3">
      <c r="B30" s="28"/>
      <c r="C30" s="43" t="s">
        <v>19</v>
      </c>
      <c r="D30" s="13" t="s">
        <v>30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27"/>
    </row>
    <row r="31" spans="2:18" ht="15" customHeight="1" x14ac:dyDescent="0.3">
      <c r="B31" s="28"/>
      <c r="C31" s="43"/>
      <c r="D31" s="13" t="s">
        <v>31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27"/>
    </row>
    <row r="32" spans="2:18" ht="15" customHeight="1" x14ac:dyDescent="0.3">
      <c r="B32" s="28"/>
      <c r="C32" s="43" t="s">
        <v>20</v>
      </c>
      <c r="D32" s="13" t="s">
        <v>32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27"/>
    </row>
    <row r="33" spans="2:18" ht="15" customHeight="1" x14ac:dyDescent="0.3">
      <c r="B33" s="28"/>
      <c r="C33" s="43"/>
      <c r="D33" s="13" t="s">
        <v>33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7"/>
    </row>
    <row r="34" spans="2:18" ht="15" customHeight="1" x14ac:dyDescent="0.3">
      <c r="B34" s="28"/>
      <c r="C34" s="43" t="s">
        <v>21</v>
      </c>
      <c r="D34" s="4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27"/>
    </row>
    <row r="35" spans="2:18" ht="15" customHeight="1" x14ac:dyDescent="0.3">
      <c r="B35" s="28"/>
      <c r="C35" s="43" t="s">
        <v>22</v>
      </c>
      <c r="D35" s="4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27"/>
    </row>
    <row r="36" spans="2:18" ht="4.2" customHeight="1" thickBot="1" x14ac:dyDescent="0.35"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1"/>
    </row>
    <row r="37" spans="2:18" ht="16.8" customHeight="1" thickBot="1" x14ac:dyDescent="0.35"/>
    <row r="38" spans="2:18" ht="6" customHeight="1" thickBot="1" x14ac:dyDescent="0.35"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25"/>
    </row>
    <row r="39" spans="2:18" ht="20.399999999999999" customHeight="1" thickBot="1" x14ac:dyDescent="0.35">
      <c r="B39" s="28"/>
      <c r="C39" s="40" t="s">
        <v>234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2"/>
      <c r="R39" s="27"/>
    </row>
    <row r="40" spans="2:18" ht="6" customHeight="1" x14ac:dyDescent="0.3">
      <c r="B40" s="28"/>
      <c r="R40" s="27"/>
    </row>
    <row r="41" spans="2:18" ht="25.8" customHeight="1" x14ac:dyDescent="0.3">
      <c r="B41" s="28"/>
      <c r="C41" s="32" t="s">
        <v>231</v>
      </c>
      <c r="D41" s="33" t="s">
        <v>230</v>
      </c>
      <c r="E41" s="13" t="s">
        <v>191</v>
      </c>
      <c r="F41" s="13" t="s">
        <v>192</v>
      </c>
      <c r="G41" s="13" t="s">
        <v>193</v>
      </c>
      <c r="H41" s="13" t="s">
        <v>194</v>
      </c>
      <c r="I41" s="13" t="s">
        <v>39</v>
      </c>
      <c r="J41" s="13" t="s">
        <v>195</v>
      </c>
      <c r="K41" s="13" t="s">
        <v>196</v>
      </c>
      <c r="L41" s="13" t="s">
        <v>197</v>
      </c>
      <c r="M41" s="13" t="s">
        <v>198</v>
      </c>
      <c r="N41" s="13" t="s">
        <v>199</v>
      </c>
      <c r="O41" s="13" t="s">
        <v>200</v>
      </c>
      <c r="P41" s="13" t="s">
        <v>201</v>
      </c>
      <c r="Q41" s="15" t="s">
        <v>202</v>
      </c>
      <c r="R41" s="27"/>
    </row>
    <row r="42" spans="2:18" ht="16.8" customHeight="1" x14ac:dyDescent="0.3">
      <c r="B42" s="28"/>
      <c r="C42" s="37" t="s">
        <v>181</v>
      </c>
      <c r="D42" s="34" t="s">
        <v>204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7"/>
    </row>
    <row r="43" spans="2:18" ht="16.8" customHeight="1" x14ac:dyDescent="0.3">
      <c r="B43" s="28"/>
      <c r="C43" s="38"/>
      <c r="D43" s="34" t="s">
        <v>232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27"/>
    </row>
    <row r="44" spans="2:18" ht="16.8" customHeight="1" x14ac:dyDescent="0.3">
      <c r="B44" s="28"/>
      <c r="C44" s="39"/>
      <c r="D44" s="34" t="s">
        <v>233</v>
      </c>
      <c r="E44" s="14" t="str">
        <f>IFERROR(E43/E42,"")</f>
        <v/>
      </c>
      <c r="F44" s="14" t="str">
        <f t="shared" ref="F44:Q44" si="48">IFERROR(F43/F42,"")</f>
        <v/>
      </c>
      <c r="G44" s="14" t="str">
        <f t="shared" si="48"/>
        <v/>
      </c>
      <c r="H44" s="14" t="str">
        <f t="shared" si="48"/>
        <v/>
      </c>
      <c r="I44" s="14" t="str">
        <f t="shared" si="48"/>
        <v/>
      </c>
      <c r="J44" s="14" t="str">
        <f t="shared" si="48"/>
        <v/>
      </c>
      <c r="K44" s="14" t="str">
        <f t="shared" si="48"/>
        <v/>
      </c>
      <c r="L44" s="14" t="str">
        <f t="shared" si="48"/>
        <v/>
      </c>
      <c r="M44" s="14" t="str">
        <f t="shared" si="48"/>
        <v/>
      </c>
      <c r="N44" s="14" t="str">
        <f t="shared" si="48"/>
        <v/>
      </c>
      <c r="O44" s="14" t="str">
        <f t="shared" si="48"/>
        <v/>
      </c>
      <c r="P44" s="14" t="str">
        <f t="shared" si="48"/>
        <v/>
      </c>
      <c r="Q44" s="14" t="str">
        <f t="shared" si="48"/>
        <v/>
      </c>
      <c r="R44" s="27"/>
    </row>
    <row r="45" spans="2:18" ht="16.8" customHeight="1" x14ac:dyDescent="0.3">
      <c r="B45" s="28"/>
      <c r="C45" s="37" t="s">
        <v>205</v>
      </c>
      <c r="D45" s="34" t="s">
        <v>204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27"/>
    </row>
    <row r="46" spans="2:18" ht="16.8" customHeight="1" x14ac:dyDescent="0.3">
      <c r="B46" s="28"/>
      <c r="C46" s="38"/>
      <c r="D46" s="34" t="s">
        <v>232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27"/>
    </row>
    <row r="47" spans="2:18" ht="16.8" customHeight="1" x14ac:dyDescent="0.3">
      <c r="B47" s="28"/>
      <c r="C47" s="39"/>
      <c r="D47" s="34" t="s">
        <v>233</v>
      </c>
      <c r="E47" s="14" t="str">
        <f>IFERROR(E46/E45,"")</f>
        <v/>
      </c>
      <c r="F47" s="14" t="str">
        <f t="shared" ref="F47" si="49">IFERROR(F46/F45,"")</f>
        <v/>
      </c>
      <c r="G47" s="14" t="str">
        <f t="shared" ref="G47" si="50">IFERROR(G46/G45,"")</f>
        <v/>
      </c>
      <c r="H47" s="14" t="str">
        <f t="shared" ref="H47" si="51">IFERROR(H46/H45,"")</f>
        <v/>
      </c>
      <c r="I47" s="14" t="str">
        <f t="shared" ref="I47" si="52">IFERROR(I46/I45,"")</f>
        <v/>
      </c>
      <c r="J47" s="14" t="str">
        <f t="shared" ref="J47" si="53">IFERROR(J46/J45,"")</f>
        <v/>
      </c>
      <c r="K47" s="14" t="str">
        <f t="shared" ref="K47" si="54">IFERROR(K46/K45,"")</f>
        <v/>
      </c>
      <c r="L47" s="14" t="str">
        <f t="shared" ref="L47" si="55">IFERROR(L46/L45,"")</f>
        <v/>
      </c>
      <c r="M47" s="14" t="str">
        <f t="shared" ref="M47" si="56">IFERROR(M46/M45,"")</f>
        <v/>
      </c>
      <c r="N47" s="14" t="str">
        <f t="shared" ref="N47" si="57">IFERROR(N46/N45,"")</f>
        <v/>
      </c>
      <c r="O47" s="14" t="str">
        <f t="shared" ref="O47" si="58">IFERROR(O46/O45,"")</f>
        <v/>
      </c>
      <c r="P47" s="14" t="str">
        <f t="shared" ref="P47" si="59">IFERROR(P46/P45,"")</f>
        <v/>
      </c>
      <c r="Q47" s="14" t="str">
        <f t="shared" ref="Q47" si="60">IFERROR(Q46/Q45,"")</f>
        <v/>
      </c>
      <c r="R47" s="27"/>
    </row>
    <row r="48" spans="2:18" ht="16.8" customHeight="1" x14ac:dyDescent="0.3">
      <c r="B48" s="28"/>
      <c r="C48" s="37" t="s">
        <v>182</v>
      </c>
      <c r="D48" s="34" t="s">
        <v>204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27"/>
    </row>
    <row r="49" spans="2:18" ht="16.8" customHeight="1" x14ac:dyDescent="0.3">
      <c r="B49" s="28"/>
      <c r="C49" s="38"/>
      <c r="D49" s="34" t="s">
        <v>232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27"/>
    </row>
    <row r="50" spans="2:18" ht="16.8" customHeight="1" x14ac:dyDescent="0.3">
      <c r="B50" s="28"/>
      <c r="C50" s="39"/>
      <c r="D50" s="34" t="s">
        <v>233</v>
      </c>
      <c r="E50" s="14" t="str">
        <f>IFERROR(E49/E48,"")</f>
        <v/>
      </c>
      <c r="F50" s="14" t="str">
        <f t="shared" ref="F50" si="61">IFERROR(F49/F48,"")</f>
        <v/>
      </c>
      <c r="G50" s="14" t="str">
        <f t="shared" ref="G50" si="62">IFERROR(G49/G48,"")</f>
        <v/>
      </c>
      <c r="H50" s="14" t="str">
        <f t="shared" ref="H50" si="63">IFERROR(H49/H48,"")</f>
        <v/>
      </c>
      <c r="I50" s="14" t="str">
        <f t="shared" ref="I50" si="64">IFERROR(I49/I48,"")</f>
        <v/>
      </c>
      <c r="J50" s="14" t="str">
        <f t="shared" ref="J50" si="65">IFERROR(J49/J48,"")</f>
        <v/>
      </c>
      <c r="K50" s="14" t="str">
        <f t="shared" ref="K50" si="66">IFERROR(K49/K48,"")</f>
        <v/>
      </c>
      <c r="L50" s="14" t="str">
        <f t="shared" ref="L50" si="67">IFERROR(L49/L48,"")</f>
        <v/>
      </c>
      <c r="M50" s="14" t="str">
        <f t="shared" ref="M50" si="68">IFERROR(M49/M48,"")</f>
        <v/>
      </c>
      <c r="N50" s="14" t="str">
        <f t="shared" ref="N50" si="69">IFERROR(N49/N48,"")</f>
        <v/>
      </c>
      <c r="O50" s="14" t="str">
        <f t="shared" ref="O50" si="70">IFERROR(O49/O48,"")</f>
        <v/>
      </c>
      <c r="P50" s="14" t="str">
        <f t="shared" ref="P50" si="71">IFERROR(P49/P48,"")</f>
        <v/>
      </c>
      <c r="Q50" s="14" t="str">
        <f t="shared" ref="Q50" si="72">IFERROR(Q49/Q48,"")</f>
        <v/>
      </c>
      <c r="R50" s="27"/>
    </row>
    <row r="51" spans="2:18" ht="16.8" customHeight="1" x14ac:dyDescent="0.3">
      <c r="B51" s="28"/>
      <c r="C51" s="37" t="s">
        <v>206</v>
      </c>
      <c r="D51" s="34" t="s">
        <v>207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27"/>
    </row>
    <row r="52" spans="2:18" ht="16.8" customHeight="1" x14ac:dyDescent="0.3">
      <c r="B52" s="28"/>
      <c r="C52" s="38"/>
      <c r="D52" s="34" t="s">
        <v>232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27"/>
    </row>
    <row r="53" spans="2:18" ht="16.8" customHeight="1" x14ac:dyDescent="0.3">
      <c r="B53" s="28"/>
      <c r="C53" s="39"/>
      <c r="D53" s="34" t="s">
        <v>233</v>
      </c>
      <c r="E53" s="14" t="str">
        <f>IFERROR(E52/E51,"")</f>
        <v/>
      </c>
      <c r="F53" s="14" t="str">
        <f t="shared" ref="F53" si="73">IFERROR(F52/F51,"")</f>
        <v/>
      </c>
      <c r="G53" s="14" t="str">
        <f t="shared" ref="G53" si="74">IFERROR(G52/G51,"")</f>
        <v/>
      </c>
      <c r="H53" s="14" t="str">
        <f t="shared" ref="H53" si="75">IFERROR(H52/H51,"")</f>
        <v/>
      </c>
      <c r="I53" s="14" t="str">
        <f t="shared" ref="I53" si="76">IFERROR(I52/I51,"")</f>
        <v/>
      </c>
      <c r="J53" s="14" t="str">
        <f t="shared" ref="J53" si="77">IFERROR(J52/J51,"")</f>
        <v/>
      </c>
      <c r="K53" s="14" t="str">
        <f t="shared" ref="K53" si="78">IFERROR(K52/K51,"")</f>
        <v/>
      </c>
      <c r="L53" s="14" t="str">
        <f t="shared" ref="L53" si="79">IFERROR(L52/L51,"")</f>
        <v/>
      </c>
      <c r="M53" s="14" t="str">
        <f t="shared" ref="M53" si="80">IFERROR(M52/M51,"")</f>
        <v/>
      </c>
      <c r="N53" s="14" t="str">
        <f t="shared" ref="N53" si="81">IFERROR(N52/N51,"")</f>
        <v/>
      </c>
      <c r="O53" s="14" t="str">
        <f t="shared" ref="O53" si="82">IFERROR(O52/O51,"")</f>
        <v/>
      </c>
      <c r="P53" s="14" t="str">
        <f t="shared" ref="P53" si="83">IFERROR(P52/P51,"")</f>
        <v/>
      </c>
      <c r="Q53" s="14" t="str">
        <f t="shared" ref="Q53" si="84">IFERROR(Q52/Q51,"")</f>
        <v/>
      </c>
      <c r="R53" s="27"/>
    </row>
    <row r="54" spans="2:18" ht="16.8" customHeight="1" x14ac:dyDescent="0.3">
      <c r="B54" s="28"/>
      <c r="C54" s="37" t="s">
        <v>208</v>
      </c>
      <c r="D54" s="34" t="s">
        <v>209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27"/>
    </row>
    <row r="55" spans="2:18" ht="16.8" customHeight="1" x14ac:dyDescent="0.3">
      <c r="B55" s="28"/>
      <c r="C55" s="38"/>
      <c r="D55" s="34" t="s">
        <v>232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27"/>
    </row>
    <row r="56" spans="2:18" ht="16.8" customHeight="1" x14ac:dyDescent="0.3">
      <c r="B56" s="28"/>
      <c r="C56" s="39"/>
      <c r="D56" s="34" t="s">
        <v>233</v>
      </c>
      <c r="E56" s="14" t="str">
        <f>IFERROR(E55/E54,"")</f>
        <v/>
      </c>
      <c r="F56" s="14" t="str">
        <f t="shared" ref="F56" si="85">IFERROR(F55/F54,"")</f>
        <v/>
      </c>
      <c r="G56" s="14" t="str">
        <f t="shared" ref="G56" si="86">IFERROR(G55/G54,"")</f>
        <v/>
      </c>
      <c r="H56" s="14" t="str">
        <f t="shared" ref="H56" si="87">IFERROR(H55/H54,"")</f>
        <v/>
      </c>
      <c r="I56" s="14" t="str">
        <f t="shared" ref="I56" si="88">IFERROR(I55/I54,"")</f>
        <v/>
      </c>
      <c r="J56" s="14" t="str">
        <f t="shared" ref="J56" si="89">IFERROR(J55/J54,"")</f>
        <v/>
      </c>
      <c r="K56" s="14" t="str">
        <f t="shared" ref="K56" si="90">IFERROR(K55/K54,"")</f>
        <v/>
      </c>
      <c r="L56" s="14" t="str">
        <f t="shared" ref="L56" si="91">IFERROR(L55/L54,"")</f>
        <v/>
      </c>
      <c r="M56" s="14" t="str">
        <f t="shared" ref="M56" si="92">IFERROR(M55/M54,"")</f>
        <v/>
      </c>
      <c r="N56" s="14" t="str">
        <f t="shared" ref="N56" si="93">IFERROR(N55/N54,"")</f>
        <v/>
      </c>
      <c r="O56" s="14" t="str">
        <f t="shared" ref="O56" si="94">IFERROR(O55/O54,"")</f>
        <v/>
      </c>
      <c r="P56" s="14" t="str">
        <f t="shared" ref="P56" si="95">IFERROR(P55/P54,"")</f>
        <v/>
      </c>
      <c r="Q56" s="14" t="str">
        <f t="shared" ref="Q56" si="96">IFERROR(Q55/Q54,"")</f>
        <v/>
      </c>
      <c r="R56" s="27"/>
    </row>
    <row r="57" spans="2:18" ht="16.8" customHeight="1" x14ac:dyDescent="0.3">
      <c r="B57" s="28"/>
      <c r="C57" s="37" t="s">
        <v>210</v>
      </c>
      <c r="D57" s="34" t="s">
        <v>211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27"/>
    </row>
    <row r="58" spans="2:18" ht="16.8" customHeight="1" x14ac:dyDescent="0.3">
      <c r="B58" s="28"/>
      <c r="C58" s="38"/>
      <c r="D58" s="34" t="s">
        <v>232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27"/>
    </row>
    <row r="59" spans="2:18" ht="16.8" customHeight="1" x14ac:dyDescent="0.3">
      <c r="B59" s="28"/>
      <c r="C59" s="39"/>
      <c r="D59" s="34" t="s">
        <v>233</v>
      </c>
      <c r="E59" s="14" t="str">
        <f>IFERROR(E58/E57,"")</f>
        <v/>
      </c>
      <c r="F59" s="14" t="str">
        <f t="shared" ref="F59" si="97">IFERROR(F58/F57,"")</f>
        <v/>
      </c>
      <c r="G59" s="14" t="str">
        <f t="shared" ref="G59" si="98">IFERROR(G58/G57,"")</f>
        <v/>
      </c>
      <c r="H59" s="14" t="str">
        <f t="shared" ref="H59" si="99">IFERROR(H58/H57,"")</f>
        <v/>
      </c>
      <c r="I59" s="14" t="str">
        <f t="shared" ref="I59" si="100">IFERROR(I58/I57,"")</f>
        <v/>
      </c>
      <c r="J59" s="14" t="str">
        <f t="shared" ref="J59" si="101">IFERROR(J58/J57,"")</f>
        <v/>
      </c>
      <c r="K59" s="14" t="str">
        <f t="shared" ref="K59" si="102">IFERROR(K58/K57,"")</f>
        <v/>
      </c>
      <c r="L59" s="14" t="str">
        <f t="shared" ref="L59" si="103">IFERROR(L58/L57,"")</f>
        <v/>
      </c>
      <c r="M59" s="14" t="str">
        <f t="shared" ref="M59" si="104">IFERROR(M58/M57,"")</f>
        <v/>
      </c>
      <c r="N59" s="14" t="str">
        <f t="shared" ref="N59" si="105">IFERROR(N58/N57,"")</f>
        <v/>
      </c>
      <c r="O59" s="14" t="str">
        <f t="shared" ref="O59" si="106">IFERROR(O58/O57,"")</f>
        <v/>
      </c>
      <c r="P59" s="14" t="str">
        <f t="shared" ref="P59" si="107">IFERROR(P58/P57,"")</f>
        <v/>
      </c>
      <c r="Q59" s="14" t="str">
        <f t="shared" ref="Q59" si="108">IFERROR(Q58/Q57,"")</f>
        <v/>
      </c>
      <c r="R59" s="27"/>
    </row>
    <row r="60" spans="2:18" ht="16.8" customHeight="1" x14ac:dyDescent="0.3">
      <c r="B60" s="28"/>
      <c r="C60" s="37" t="s">
        <v>212</v>
      </c>
      <c r="D60" s="34" t="s">
        <v>213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27"/>
    </row>
    <row r="61" spans="2:18" ht="16.8" customHeight="1" x14ac:dyDescent="0.3">
      <c r="B61" s="28"/>
      <c r="C61" s="38"/>
      <c r="D61" s="34" t="s">
        <v>232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27"/>
    </row>
    <row r="62" spans="2:18" ht="16.8" customHeight="1" x14ac:dyDescent="0.3">
      <c r="B62" s="28"/>
      <c r="C62" s="39"/>
      <c r="D62" s="34" t="s">
        <v>233</v>
      </c>
      <c r="E62" s="14" t="str">
        <f>IFERROR(E61/E60,"")</f>
        <v/>
      </c>
      <c r="F62" s="14" t="str">
        <f t="shared" ref="F62" si="109">IFERROR(F61/F60,"")</f>
        <v/>
      </c>
      <c r="G62" s="14" t="str">
        <f t="shared" ref="G62" si="110">IFERROR(G61/G60,"")</f>
        <v/>
      </c>
      <c r="H62" s="14" t="str">
        <f t="shared" ref="H62" si="111">IFERROR(H61/H60,"")</f>
        <v/>
      </c>
      <c r="I62" s="14" t="str">
        <f t="shared" ref="I62" si="112">IFERROR(I61/I60,"")</f>
        <v/>
      </c>
      <c r="J62" s="14" t="str">
        <f t="shared" ref="J62" si="113">IFERROR(J61/J60,"")</f>
        <v/>
      </c>
      <c r="K62" s="14" t="str">
        <f t="shared" ref="K62" si="114">IFERROR(K61/K60,"")</f>
        <v/>
      </c>
      <c r="L62" s="14" t="str">
        <f t="shared" ref="L62" si="115">IFERROR(L61/L60,"")</f>
        <v/>
      </c>
      <c r="M62" s="14" t="str">
        <f t="shared" ref="M62" si="116">IFERROR(M61/M60,"")</f>
        <v/>
      </c>
      <c r="N62" s="14" t="str">
        <f t="shared" ref="N62" si="117">IFERROR(N61/N60,"")</f>
        <v/>
      </c>
      <c r="O62" s="14" t="str">
        <f t="shared" ref="O62" si="118">IFERROR(O61/O60,"")</f>
        <v/>
      </c>
      <c r="P62" s="14" t="str">
        <f t="shared" ref="P62" si="119">IFERROR(P61/P60,"")</f>
        <v/>
      </c>
      <c r="Q62" s="14" t="str">
        <f t="shared" ref="Q62" si="120">IFERROR(Q61/Q60,"")</f>
        <v/>
      </c>
      <c r="R62" s="27"/>
    </row>
    <row r="63" spans="2:18" ht="16.8" customHeight="1" x14ac:dyDescent="0.3">
      <c r="B63" s="28"/>
      <c r="C63" s="37" t="s">
        <v>214</v>
      </c>
      <c r="D63" s="34" t="s">
        <v>215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27"/>
    </row>
    <row r="64" spans="2:18" ht="16.8" customHeight="1" x14ac:dyDescent="0.3">
      <c r="B64" s="28"/>
      <c r="C64" s="38"/>
      <c r="D64" s="34" t="s">
        <v>232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27"/>
    </row>
    <row r="65" spans="2:18" ht="16.8" customHeight="1" x14ac:dyDescent="0.3">
      <c r="B65" s="28"/>
      <c r="C65" s="39"/>
      <c r="D65" s="34" t="s">
        <v>233</v>
      </c>
      <c r="E65" s="14" t="str">
        <f>IFERROR(E64/E63,"")</f>
        <v/>
      </c>
      <c r="F65" s="14" t="str">
        <f t="shared" ref="F65" si="121">IFERROR(F64/F63,"")</f>
        <v/>
      </c>
      <c r="G65" s="14" t="str">
        <f t="shared" ref="G65" si="122">IFERROR(G64/G63,"")</f>
        <v/>
      </c>
      <c r="H65" s="14" t="str">
        <f t="shared" ref="H65" si="123">IFERROR(H64/H63,"")</f>
        <v/>
      </c>
      <c r="I65" s="14" t="str">
        <f t="shared" ref="I65" si="124">IFERROR(I64/I63,"")</f>
        <v/>
      </c>
      <c r="J65" s="14" t="str">
        <f t="shared" ref="J65" si="125">IFERROR(J64/J63,"")</f>
        <v/>
      </c>
      <c r="K65" s="14" t="str">
        <f t="shared" ref="K65" si="126">IFERROR(K64/K63,"")</f>
        <v/>
      </c>
      <c r="L65" s="14" t="str">
        <f t="shared" ref="L65" si="127">IFERROR(L64/L63,"")</f>
        <v/>
      </c>
      <c r="M65" s="14" t="str">
        <f t="shared" ref="M65" si="128">IFERROR(M64/M63,"")</f>
        <v/>
      </c>
      <c r="N65" s="14" t="str">
        <f t="shared" ref="N65" si="129">IFERROR(N64/N63,"")</f>
        <v/>
      </c>
      <c r="O65" s="14" t="str">
        <f t="shared" ref="O65" si="130">IFERROR(O64/O63,"")</f>
        <v/>
      </c>
      <c r="P65" s="14" t="str">
        <f t="shared" ref="P65" si="131">IFERROR(P64/P63,"")</f>
        <v/>
      </c>
      <c r="Q65" s="14" t="str">
        <f t="shared" ref="Q65" si="132">IFERROR(Q64/Q63,"")</f>
        <v/>
      </c>
      <c r="R65" s="27"/>
    </row>
    <row r="66" spans="2:18" ht="16.8" customHeight="1" x14ac:dyDescent="0.3">
      <c r="B66" s="28"/>
      <c r="C66" s="37" t="s">
        <v>216</v>
      </c>
      <c r="D66" s="34" t="s">
        <v>217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27"/>
    </row>
    <row r="67" spans="2:18" ht="16.8" customHeight="1" x14ac:dyDescent="0.3">
      <c r="B67" s="28"/>
      <c r="C67" s="38"/>
      <c r="D67" s="34" t="s">
        <v>232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27"/>
    </row>
    <row r="68" spans="2:18" ht="16.8" customHeight="1" x14ac:dyDescent="0.3">
      <c r="B68" s="28"/>
      <c r="C68" s="39"/>
      <c r="D68" s="34" t="s">
        <v>233</v>
      </c>
      <c r="E68" s="14" t="str">
        <f>IFERROR(E67/E66,"")</f>
        <v/>
      </c>
      <c r="F68" s="14" t="str">
        <f t="shared" ref="F68" si="133">IFERROR(F67/F66,"")</f>
        <v/>
      </c>
      <c r="G68" s="14" t="str">
        <f t="shared" ref="G68" si="134">IFERROR(G67/G66,"")</f>
        <v/>
      </c>
      <c r="H68" s="14" t="str">
        <f t="shared" ref="H68" si="135">IFERROR(H67/H66,"")</f>
        <v/>
      </c>
      <c r="I68" s="14" t="str">
        <f t="shared" ref="I68" si="136">IFERROR(I67/I66,"")</f>
        <v/>
      </c>
      <c r="J68" s="14" t="str">
        <f t="shared" ref="J68" si="137">IFERROR(J67/J66,"")</f>
        <v/>
      </c>
      <c r="K68" s="14" t="str">
        <f t="shared" ref="K68" si="138">IFERROR(K67/K66,"")</f>
        <v/>
      </c>
      <c r="L68" s="14" t="str">
        <f t="shared" ref="L68" si="139">IFERROR(L67/L66,"")</f>
        <v/>
      </c>
      <c r="M68" s="14" t="str">
        <f t="shared" ref="M68" si="140">IFERROR(M67/M66,"")</f>
        <v/>
      </c>
      <c r="N68" s="14" t="str">
        <f t="shared" ref="N68" si="141">IFERROR(N67/N66,"")</f>
        <v/>
      </c>
      <c r="O68" s="14" t="str">
        <f t="shared" ref="O68" si="142">IFERROR(O67/O66,"")</f>
        <v/>
      </c>
      <c r="P68" s="14" t="str">
        <f t="shared" ref="P68" si="143">IFERROR(P67/P66,"")</f>
        <v/>
      </c>
      <c r="Q68" s="14" t="str">
        <f t="shared" ref="Q68" si="144">IFERROR(Q67/Q66,"")</f>
        <v/>
      </c>
      <c r="R68" s="27"/>
    </row>
    <row r="69" spans="2:18" ht="16.8" customHeight="1" x14ac:dyDescent="0.3">
      <c r="B69" s="28"/>
      <c r="C69" s="37" t="s">
        <v>218</v>
      </c>
      <c r="D69" s="34" t="s">
        <v>219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27"/>
    </row>
    <row r="70" spans="2:18" ht="16.8" customHeight="1" x14ac:dyDescent="0.3">
      <c r="B70" s="28"/>
      <c r="C70" s="38"/>
      <c r="D70" s="34" t="s">
        <v>232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27"/>
    </row>
    <row r="71" spans="2:18" ht="16.8" customHeight="1" x14ac:dyDescent="0.3">
      <c r="B71" s="28"/>
      <c r="C71" s="39"/>
      <c r="D71" s="34" t="s">
        <v>233</v>
      </c>
      <c r="E71" s="14" t="str">
        <f>IFERROR(E70/E69,"")</f>
        <v/>
      </c>
      <c r="F71" s="14" t="str">
        <f t="shared" ref="F71" si="145">IFERROR(F70/F69,"")</f>
        <v/>
      </c>
      <c r="G71" s="14" t="str">
        <f t="shared" ref="G71" si="146">IFERROR(G70/G69,"")</f>
        <v/>
      </c>
      <c r="H71" s="14" t="str">
        <f t="shared" ref="H71" si="147">IFERROR(H70/H69,"")</f>
        <v/>
      </c>
      <c r="I71" s="14" t="str">
        <f t="shared" ref="I71" si="148">IFERROR(I70/I69,"")</f>
        <v/>
      </c>
      <c r="J71" s="14" t="str">
        <f t="shared" ref="J71" si="149">IFERROR(J70/J69,"")</f>
        <v/>
      </c>
      <c r="K71" s="14" t="str">
        <f t="shared" ref="K71" si="150">IFERROR(K70/K69,"")</f>
        <v/>
      </c>
      <c r="L71" s="14" t="str">
        <f t="shared" ref="L71" si="151">IFERROR(L70/L69,"")</f>
        <v/>
      </c>
      <c r="M71" s="14" t="str">
        <f t="shared" ref="M71" si="152">IFERROR(M70/M69,"")</f>
        <v/>
      </c>
      <c r="N71" s="14" t="str">
        <f t="shared" ref="N71" si="153">IFERROR(N70/N69,"")</f>
        <v/>
      </c>
      <c r="O71" s="14" t="str">
        <f t="shared" ref="O71" si="154">IFERROR(O70/O69,"")</f>
        <v/>
      </c>
      <c r="P71" s="14" t="str">
        <f t="shared" ref="P71" si="155">IFERROR(P70/P69,"")</f>
        <v/>
      </c>
      <c r="Q71" s="14" t="str">
        <f t="shared" ref="Q71" si="156">IFERROR(Q70/Q69,"")</f>
        <v/>
      </c>
      <c r="R71" s="27"/>
    </row>
    <row r="72" spans="2:18" ht="16.8" customHeight="1" x14ac:dyDescent="0.3">
      <c r="B72" s="28"/>
      <c r="C72" s="37" t="s">
        <v>220</v>
      </c>
      <c r="D72" s="34" t="s">
        <v>221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27"/>
    </row>
    <row r="73" spans="2:18" ht="16.8" customHeight="1" x14ac:dyDescent="0.3">
      <c r="B73" s="28"/>
      <c r="C73" s="38"/>
      <c r="D73" s="34" t="s">
        <v>232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27"/>
    </row>
    <row r="74" spans="2:18" ht="16.8" customHeight="1" x14ac:dyDescent="0.3">
      <c r="B74" s="28"/>
      <c r="C74" s="39"/>
      <c r="D74" s="34" t="s">
        <v>233</v>
      </c>
      <c r="E74" s="14" t="str">
        <f>IFERROR(E73/E72,"")</f>
        <v/>
      </c>
      <c r="F74" s="14" t="str">
        <f t="shared" ref="F74" si="157">IFERROR(F73/F72,"")</f>
        <v/>
      </c>
      <c r="G74" s="14" t="str">
        <f t="shared" ref="G74" si="158">IFERROR(G73/G72,"")</f>
        <v/>
      </c>
      <c r="H74" s="14" t="str">
        <f t="shared" ref="H74" si="159">IFERROR(H73/H72,"")</f>
        <v/>
      </c>
      <c r="I74" s="14" t="str">
        <f t="shared" ref="I74" si="160">IFERROR(I73/I72,"")</f>
        <v/>
      </c>
      <c r="J74" s="14" t="str">
        <f t="shared" ref="J74" si="161">IFERROR(J73/J72,"")</f>
        <v/>
      </c>
      <c r="K74" s="14" t="str">
        <f t="shared" ref="K74" si="162">IFERROR(K73/K72,"")</f>
        <v/>
      </c>
      <c r="L74" s="14" t="str">
        <f t="shared" ref="L74" si="163">IFERROR(L73/L72,"")</f>
        <v/>
      </c>
      <c r="M74" s="14" t="str">
        <f t="shared" ref="M74" si="164">IFERROR(M73/M72,"")</f>
        <v/>
      </c>
      <c r="N74" s="14" t="str">
        <f t="shared" ref="N74" si="165">IFERROR(N73/N72,"")</f>
        <v/>
      </c>
      <c r="O74" s="14" t="str">
        <f t="shared" ref="O74" si="166">IFERROR(O73/O72,"")</f>
        <v/>
      </c>
      <c r="P74" s="14" t="str">
        <f t="shared" ref="P74" si="167">IFERROR(P73/P72,"")</f>
        <v/>
      </c>
      <c r="Q74" s="14" t="str">
        <f t="shared" ref="Q74" si="168">IFERROR(Q73/Q72,"")</f>
        <v/>
      </c>
      <c r="R74" s="27"/>
    </row>
    <row r="75" spans="2:18" ht="16.8" customHeight="1" x14ac:dyDescent="0.3">
      <c r="B75" s="28"/>
      <c r="C75" s="37" t="s">
        <v>222</v>
      </c>
      <c r="D75" s="34" t="s">
        <v>223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27"/>
    </row>
    <row r="76" spans="2:18" ht="16.8" customHeight="1" x14ac:dyDescent="0.3">
      <c r="B76" s="28"/>
      <c r="C76" s="38"/>
      <c r="D76" s="34" t="s">
        <v>232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27"/>
    </row>
    <row r="77" spans="2:18" ht="16.8" customHeight="1" x14ac:dyDescent="0.3">
      <c r="B77" s="28"/>
      <c r="C77" s="39"/>
      <c r="D77" s="34" t="s">
        <v>233</v>
      </c>
      <c r="E77" s="14" t="str">
        <f>IFERROR(E76/E75,"")</f>
        <v/>
      </c>
      <c r="F77" s="14" t="str">
        <f t="shared" ref="F77" si="169">IFERROR(F76/F75,"")</f>
        <v/>
      </c>
      <c r="G77" s="14" t="str">
        <f t="shared" ref="G77" si="170">IFERROR(G76/G75,"")</f>
        <v/>
      </c>
      <c r="H77" s="14" t="str">
        <f t="shared" ref="H77" si="171">IFERROR(H76/H75,"")</f>
        <v/>
      </c>
      <c r="I77" s="14" t="str">
        <f t="shared" ref="I77" si="172">IFERROR(I76/I75,"")</f>
        <v/>
      </c>
      <c r="J77" s="14" t="str">
        <f t="shared" ref="J77" si="173">IFERROR(J76/J75,"")</f>
        <v/>
      </c>
      <c r="K77" s="14" t="str">
        <f t="shared" ref="K77" si="174">IFERROR(K76/K75,"")</f>
        <v/>
      </c>
      <c r="L77" s="14" t="str">
        <f t="shared" ref="L77" si="175">IFERROR(L76/L75,"")</f>
        <v/>
      </c>
      <c r="M77" s="14" t="str">
        <f t="shared" ref="M77" si="176">IFERROR(M76/M75,"")</f>
        <v/>
      </c>
      <c r="N77" s="14" t="str">
        <f t="shared" ref="N77" si="177">IFERROR(N76/N75,"")</f>
        <v/>
      </c>
      <c r="O77" s="14" t="str">
        <f t="shared" ref="O77" si="178">IFERROR(O76/O75,"")</f>
        <v/>
      </c>
      <c r="P77" s="14" t="str">
        <f t="shared" ref="P77" si="179">IFERROR(P76/P75,"")</f>
        <v/>
      </c>
      <c r="Q77" s="14" t="str">
        <f t="shared" ref="Q77" si="180">IFERROR(Q76/Q75,"")</f>
        <v/>
      </c>
      <c r="R77" s="27"/>
    </row>
    <row r="78" spans="2:18" ht="16.8" customHeight="1" x14ac:dyDescent="0.3">
      <c r="B78" s="28"/>
      <c r="C78" s="37" t="s">
        <v>224</v>
      </c>
      <c r="D78" s="34" t="s">
        <v>225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27"/>
    </row>
    <row r="79" spans="2:18" ht="16.8" customHeight="1" x14ac:dyDescent="0.3">
      <c r="B79" s="28"/>
      <c r="C79" s="38"/>
      <c r="D79" s="34" t="s">
        <v>232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27"/>
    </row>
    <row r="80" spans="2:18" ht="16.8" customHeight="1" x14ac:dyDescent="0.3">
      <c r="B80" s="28"/>
      <c r="C80" s="39"/>
      <c r="D80" s="34" t="s">
        <v>233</v>
      </c>
      <c r="E80" s="14" t="str">
        <f>IFERROR(E79/E78,"")</f>
        <v/>
      </c>
      <c r="F80" s="14" t="str">
        <f t="shared" ref="F80" si="181">IFERROR(F79/F78,"")</f>
        <v/>
      </c>
      <c r="G80" s="14" t="str">
        <f t="shared" ref="G80" si="182">IFERROR(G79/G78,"")</f>
        <v/>
      </c>
      <c r="H80" s="14" t="str">
        <f t="shared" ref="H80" si="183">IFERROR(H79/H78,"")</f>
        <v/>
      </c>
      <c r="I80" s="14" t="str">
        <f t="shared" ref="I80" si="184">IFERROR(I79/I78,"")</f>
        <v/>
      </c>
      <c r="J80" s="14" t="str">
        <f t="shared" ref="J80" si="185">IFERROR(J79/J78,"")</f>
        <v/>
      </c>
      <c r="K80" s="14" t="str">
        <f t="shared" ref="K80" si="186">IFERROR(K79/K78,"")</f>
        <v/>
      </c>
      <c r="L80" s="14" t="str">
        <f t="shared" ref="L80" si="187">IFERROR(L79/L78,"")</f>
        <v/>
      </c>
      <c r="M80" s="14" t="str">
        <f t="shared" ref="M80" si="188">IFERROR(M79/M78,"")</f>
        <v/>
      </c>
      <c r="N80" s="14" t="str">
        <f t="shared" ref="N80" si="189">IFERROR(N79/N78,"")</f>
        <v/>
      </c>
      <c r="O80" s="14" t="str">
        <f t="shared" ref="O80" si="190">IFERROR(O79/O78,"")</f>
        <v/>
      </c>
      <c r="P80" s="14" t="str">
        <f t="shared" ref="P80" si="191">IFERROR(P79/P78,"")</f>
        <v/>
      </c>
      <c r="Q80" s="14" t="str">
        <f t="shared" ref="Q80" si="192">IFERROR(Q79/Q78,"")</f>
        <v/>
      </c>
      <c r="R80" s="27"/>
    </row>
    <row r="81" spans="2:18" ht="16.8" customHeight="1" x14ac:dyDescent="0.3">
      <c r="B81" s="28"/>
      <c r="C81" s="37" t="s">
        <v>226</v>
      </c>
      <c r="D81" s="34" t="s">
        <v>227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27"/>
    </row>
    <row r="82" spans="2:18" ht="16.8" customHeight="1" x14ac:dyDescent="0.3">
      <c r="B82" s="28"/>
      <c r="C82" s="38"/>
      <c r="D82" s="34" t="s">
        <v>232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27"/>
    </row>
    <row r="83" spans="2:18" ht="16.8" customHeight="1" x14ac:dyDescent="0.3">
      <c r="B83" s="28"/>
      <c r="C83" s="39"/>
      <c r="D83" s="34" t="s">
        <v>233</v>
      </c>
      <c r="E83" s="14" t="str">
        <f>IFERROR(E82/E81,"")</f>
        <v/>
      </c>
      <c r="F83" s="14" t="str">
        <f t="shared" ref="F83" si="193">IFERROR(F82/F81,"")</f>
        <v/>
      </c>
      <c r="G83" s="14" t="str">
        <f t="shared" ref="G83" si="194">IFERROR(G82/G81,"")</f>
        <v/>
      </c>
      <c r="H83" s="14" t="str">
        <f t="shared" ref="H83" si="195">IFERROR(H82/H81,"")</f>
        <v/>
      </c>
      <c r="I83" s="14" t="str">
        <f t="shared" ref="I83" si="196">IFERROR(I82/I81,"")</f>
        <v/>
      </c>
      <c r="J83" s="14" t="str">
        <f t="shared" ref="J83" si="197">IFERROR(J82/J81,"")</f>
        <v/>
      </c>
      <c r="K83" s="14" t="str">
        <f t="shared" ref="K83" si="198">IFERROR(K82/K81,"")</f>
        <v/>
      </c>
      <c r="L83" s="14" t="str">
        <f t="shared" ref="L83" si="199">IFERROR(L82/L81,"")</f>
        <v/>
      </c>
      <c r="M83" s="14" t="str">
        <f t="shared" ref="M83" si="200">IFERROR(M82/M81,"")</f>
        <v/>
      </c>
      <c r="N83" s="14" t="str">
        <f t="shared" ref="N83" si="201">IFERROR(N82/N81,"")</f>
        <v/>
      </c>
      <c r="O83" s="14" t="str">
        <f t="shared" ref="O83" si="202">IFERROR(O82/O81,"")</f>
        <v/>
      </c>
      <c r="P83" s="14" t="str">
        <f t="shared" ref="P83" si="203">IFERROR(P82/P81,"")</f>
        <v/>
      </c>
      <c r="Q83" s="14" t="str">
        <f t="shared" ref="Q83" si="204">IFERROR(Q82/Q81,"")</f>
        <v/>
      </c>
      <c r="R83" s="27"/>
    </row>
    <row r="84" spans="2:18" ht="16.8" customHeight="1" x14ac:dyDescent="0.3">
      <c r="B84" s="28"/>
      <c r="C84" s="37" t="s">
        <v>228</v>
      </c>
      <c r="D84" s="34" t="s">
        <v>227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27"/>
    </row>
    <row r="85" spans="2:18" ht="16.8" customHeight="1" x14ac:dyDescent="0.3">
      <c r="B85" s="28"/>
      <c r="C85" s="38"/>
      <c r="D85" s="34" t="s">
        <v>232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27"/>
    </row>
    <row r="86" spans="2:18" ht="16.8" customHeight="1" x14ac:dyDescent="0.3">
      <c r="B86" s="28"/>
      <c r="C86" s="39"/>
      <c r="D86" s="34" t="s">
        <v>233</v>
      </c>
      <c r="E86" s="14" t="str">
        <f>IFERROR(E85/E84,"")</f>
        <v/>
      </c>
      <c r="F86" s="14" t="str">
        <f t="shared" ref="F86" si="205">IFERROR(F85/F84,"")</f>
        <v/>
      </c>
      <c r="G86" s="14" t="str">
        <f t="shared" ref="G86" si="206">IFERROR(G85/G84,"")</f>
        <v/>
      </c>
      <c r="H86" s="14" t="str">
        <f t="shared" ref="H86" si="207">IFERROR(H85/H84,"")</f>
        <v/>
      </c>
      <c r="I86" s="14" t="str">
        <f t="shared" ref="I86" si="208">IFERROR(I85/I84,"")</f>
        <v/>
      </c>
      <c r="J86" s="14" t="str">
        <f t="shared" ref="J86" si="209">IFERROR(J85/J84,"")</f>
        <v/>
      </c>
      <c r="K86" s="14" t="str">
        <f t="shared" ref="K86" si="210">IFERROR(K85/K84,"")</f>
        <v/>
      </c>
      <c r="L86" s="14" t="str">
        <f t="shared" ref="L86" si="211">IFERROR(L85/L84,"")</f>
        <v/>
      </c>
      <c r="M86" s="14" t="str">
        <f t="shared" ref="M86" si="212">IFERROR(M85/M84,"")</f>
        <v/>
      </c>
      <c r="N86" s="14" t="str">
        <f t="shared" ref="N86" si="213">IFERROR(N85/N84,"")</f>
        <v/>
      </c>
      <c r="O86" s="14" t="str">
        <f t="shared" ref="O86" si="214">IFERROR(O85/O84,"")</f>
        <v/>
      </c>
      <c r="P86" s="14" t="str">
        <f t="shared" ref="P86" si="215">IFERROR(P85/P84,"")</f>
        <v/>
      </c>
      <c r="Q86" s="14" t="str">
        <f t="shared" ref="Q86" si="216">IFERROR(Q85/Q84,"")</f>
        <v/>
      </c>
      <c r="R86" s="27"/>
    </row>
    <row r="87" spans="2:18" ht="16.8" customHeight="1" x14ac:dyDescent="0.3">
      <c r="B87" s="28"/>
      <c r="C87" s="37" t="s">
        <v>229</v>
      </c>
      <c r="D87" s="34" t="s">
        <v>227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27"/>
    </row>
    <row r="88" spans="2:18" ht="16.8" customHeight="1" x14ac:dyDescent="0.3">
      <c r="B88" s="28"/>
      <c r="C88" s="38"/>
      <c r="D88" s="34" t="s">
        <v>232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27"/>
    </row>
    <row r="89" spans="2:18" ht="16.8" customHeight="1" x14ac:dyDescent="0.3">
      <c r="B89" s="28"/>
      <c r="C89" s="39"/>
      <c r="D89" s="34" t="s">
        <v>233</v>
      </c>
      <c r="E89" s="14" t="str">
        <f>IFERROR(E88/E87,"")</f>
        <v/>
      </c>
      <c r="F89" s="14" t="str">
        <f t="shared" ref="F89" si="217">IFERROR(F88/F87,"")</f>
        <v/>
      </c>
      <c r="G89" s="14" t="str">
        <f t="shared" ref="G89" si="218">IFERROR(G88/G87,"")</f>
        <v/>
      </c>
      <c r="H89" s="14" t="str">
        <f t="shared" ref="H89" si="219">IFERROR(H88/H87,"")</f>
        <v/>
      </c>
      <c r="I89" s="14" t="str">
        <f t="shared" ref="I89" si="220">IFERROR(I88/I87,"")</f>
        <v/>
      </c>
      <c r="J89" s="14" t="str">
        <f t="shared" ref="J89" si="221">IFERROR(J88/J87,"")</f>
        <v/>
      </c>
      <c r="K89" s="14" t="str">
        <f t="shared" ref="K89" si="222">IFERROR(K88/K87,"")</f>
        <v/>
      </c>
      <c r="L89" s="14" t="str">
        <f t="shared" ref="L89" si="223">IFERROR(L88/L87,"")</f>
        <v/>
      </c>
      <c r="M89" s="14" t="str">
        <f t="shared" ref="M89" si="224">IFERROR(M88/M87,"")</f>
        <v/>
      </c>
      <c r="N89" s="14" t="str">
        <f t="shared" ref="N89" si="225">IFERROR(N88/N87,"")</f>
        <v/>
      </c>
      <c r="O89" s="14" t="str">
        <f t="shared" ref="O89" si="226">IFERROR(O88/O87,"")</f>
        <v/>
      </c>
      <c r="P89" s="14" t="str">
        <f t="shared" ref="P89" si="227">IFERROR(P88/P87,"")</f>
        <v/>
      </c>
      <c r="Q89" s="14" t="str">
        <f t="shared" ref="Q89" si="228">IFERROR(Q88/Q87,"")</f>
        <v/>
      </c>
      <c r="R89" s="27"/>
    </row>
    <row r="90" spans="2:18" ht="6" customHeight="1" thickBot="1" x14ac:dyDescent="0.35">
      <c r="B90" s="29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1"/>
    </row>
  </sheetData>
  <mergeCells count="34">
    <mergeCell ref="C30:C31"/>
    <mergeCell ref="C3:Q3"/>
    <mergeCell ref="C32:C33"/>
    <mergeCell ref="C34:D34"/>
    <mergeCell ref="C35:D35"/>
    <mergeCell ref="C8:D8"/>
    <mergeCell ref="C42:C44"/>
    <mergeCell ref="C9:D9"/>
    <mergeCell ref="C10:D10"/>
    <mergeCell ref="C11:C12"/>
    <mergeCell ref="C13:C14"/>
    <mergeCell ref="C15:C16"/>
    <mergeCell ref="C17:C18"/>
    <mergeCell ref="C19:C20"/>
    <mergeCell ref="C21:C22"/>
    <mergeCell ref="C23:D23"/>
    <mergeCell ref="C24:C27"/>
    <mergeCell ref="C28:C29"/>
    <mergeCell ref="C81:C83"/>
    <mergeCell ref="C84:C86"/>
    <mergeCell ref="C87:C89"/>
    <mergeCell ref="C39:Q39"/>
    <mergeCell ref="C63:C65"/>
    <mergeCell ref="C66:C68"/>
    <mergeCell ref="C69:C71"/>
    <mergeCell ref="C72:C74"/>
    <mergeCell ref="C75:C77"/>
    <mergeCell ref="C78:C80"/>
    <mergeCell ref="C45:C47"/>
    <mergeCell ref="C48:C50"/>
    <mergeCell ref="C51:C53"/>
    <mergeCell ref="C54:C56"/>
    <mergeCell ref="C57:C59"/>
    <mergeCell ref="C60:C6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55"/>
  <sheetViews>
    <sheetView tabSelected="1" topLeftCell="U1" workbookViewId="0">
      <selection activeCell="AR3" sqref="AR3"/>
    </sheetView>
  </sheetViews>
  <sheetFormatPr defaultRowHeight="18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15.44140625" bestFit="1" customWidth="1"/>
    <col min="5" max="5" width="28.6640625" bestFit="1" customWidth="1"/>
    <col min="6" max="6" width="26.77734375" bestFit="1" customWidth="1"/>
    <col min="7" max="7" width="20.109375" bestFit="1" customWidth="1"/>
    <col min="8" max="45" width="8.109375" customWidth="1"/>
  </cols>
  <sheetData>
    <row r="1" spans="1:45" s="45" customFormat="1" ht="35.4" customHeight="1" x14ac:dyDescent="0.3">
      <c r="A1" s="3" t="s">
        <v>5</v>
      </c>
      <c r="B1" s="3" t="s">
        <v>3</v>
      </c>
      <c r="C1" s="3" t="s">
        <v>41</v>
      </c>
      <c r="D1" s="3" t="s">
        <v>6</v>
      </c>
      <c r="E1" s="3" t="s">
        <v>7</v>
      </c>
      <c r="F1" s="3" t="s">
        <v>42</v>
      </c>
      <c r="G1" s="3" t="s">
        <v>43</v>
      </c>
      <c r="H1" s="3" t="s">
        <v>8</v>
      </c>
      <c r="I1" s="3" t="s">
        <v>9</v>
      </c>
      <c r="J1" s="3" t="s">
        <v>244</v>
      </c>
      <c r="K1" s="3" t="s">
        <v>44</v>
      </c>
      <c r="L1" s="3" t="s">
        <v>45</v>
      </c>
      <c r="M1" s="3" t="s">
        <v>46</v>
      </c>
      <c r="N1" s="8" t="s">
        <v>235</v>
      </c>
      <c r="O1" s="47" t="s">
        <v>237</v>
      </c>
      <c r="P1" s="3" t="s">
        <v>236</v>
      </c>
      <c r="Q1" s="48" t="s">
        <v>238</v>
      </c>
      <c r="R1" s="3" t="s">
        <v>15</v>
      </c>
      <c r="S1" s="48" t="s">
        <v>239</v>
      </c>
      <c r="T1" s="3" t="s">
        <v>175</v>
      </c>
      <c r="U1" s="48" t="s">
        <v>240</v>
      </c>
      <c r="V1" s="3" t="s">
        <v>176</v>
      </c>
      <c r="W1" s="48" t="s">
        <v>241</v>
      </c>
      <c r="X1" s="3" t="s">
        <v>13</v>
      </c>
      <c r="Y1" s="48" t="s">
        <v>242</v>
      </c>
      <c r="Z1" s="3" t="s">
        <v>177</v>
      </c>
      <c r="AA1" s="48" t="s">
        <v>243</v>
      </c>
      <c r="AB1" s="3" t="s">
        <v>178</v>
      </c>
      <c r="AC1" s="48" t="s">
        <v>245</v>
      </c>
      <c r="AD1" s="3" t="s">
        <v>179</v>
      </c>
      <c r="AE1" s="3" t="s">
        <v>180</v>
      </c>
      <c r="AF1" s="48" t="s">
        <v>246</v>
      </c>
      <c r="AG1" s="3" t="s">
        <v>183</v>
      </c>
      <c r="AH1" s="48" t="s">
        <v>247</v>
      </c>
      <c r="AI1" s="3" t="s">
        <v>184</v>
      </c>
      <c r="AJ1" s="3" t="s">
        <v>185</v>
      </c>
      <c r="AK1" s="3" t="s">
        <v>186</v>
      </c>
      <c r="AL1" s="3" t="s">
        <v>187</v>
      </c>
      <c r="AM1" s="3" t="s">
        <v>188</v>
      </c>
      <c r="AN1" s="3" t="s">
        <v>189</v>
      </c>
      <c r="AO1" s="48" t="s">
        <v>19</v>
      </c>
      <c r="AP1" s="48" t="s">
        <v>248</v>
      </c>
      <c r="AQ1" s="3" t="s">
        <v>32</v>
      </c>
      <c r="AR1" s="48" t="s">
        <v>249</v>
      </c>
      <c r="AS1" s="3" t="s">
        <v>190</v>
      </c>
    </row>
    <row r="2" spans="1:45" ht="18" customHeight="1" x14ac:dyDescent="0.3">
      <c r="A2" s="4" t="s">
        <v>34</v>
      </c>
      <c r="B2" s="4" t="s">
        <v>4</v>
      </c>
      <c r="C2" s="4" t="s">
        <v>47</v>
      </c>
      <c r="D2" s="4" t="s">
        <v>35</v>
      </c>
      <c r="E2" s="4" t="s">
        <v>2</v>
      </c>
      <c r="F2" s="7" t="s">
        <v>48</v>
      </c>
      <c r="G2" s="4" t="s">
        <v>49</v>
      </c>
      <c r="H2" s="5">
        <v>143</v>
      </c>
      <c r="I2" s="5">
        <v>110</v>
      </c>
      <c r="J2" s="6">
        <f>I2/H2</f>
        <v>0.76923076923076927</v>
      </c>
      <c r="K2" s="5"/>
      <c r="L2" s="5"/>
      <c r="M2" s="5"/>
      <c r="N2" s="9">
        <v>25</v>
      </c>
      <c r="O2" s="46">
        <f>IFERROR(N2/$I2,"")</f>
        <v>0.22727272727272727</v>
      </c>
      <c r="P2" s="5">
        <v>3</v>
      </c>
      <c r="Q2" s="46">
        <f>IFERROR(P2/$I2,"")</f>
        <v>2.7272727272727271E-2</v>
      </c>
      <c r="R2" s="5">
        <v>46</v>
      </c>
      <c r="S2" s="46">
        <f>IFERROR(R2/$I2,"")</f>
        <v>0.41818181818181815</v>
      </c>
      <c r="T2" s="5">
        <v>1</v>
      </c>
      <c r="U2" s="46">
        <f>IFERROR(T2/$I2,"")</f>
        <v>9.0909090909090905E-3</v>
      </c>
      <c r="V2" s="5">
        <v>24</v>
      </c>
      <c r="W2" s="46">
        <f>IFERROR(V2/$I2,"")</f>
        <v>0.21818181818181817</v>
      </c>
      <c r="X2" s="5">
        <v>27</v>
      </c>
      <c r="Y2" s="46">
        <f>IFERROR(X2/$I2,"")</f>
        <v>0.24545454545454545</v>
      </c>
      <c r="Z2" s="5">
        <v>20</v>
      </c>
      <c r="AA2" s="46">
        <f>IFERROR(Z2/$I2,"")</f>
        <v>0.18181818181818182</v>
      </c>
      <c r="AB2" s="5">
        <v>80</v>
      </c>
      <c r="AC2" s="46">
        <f>IFERROR(AB2/$H2,"")</f>
        <v>0.55944055944055948</v>
      </c>
      <c r="AD2" s="5">
        <v>89</v>
      </c>
      <c r="AE2" s="5">
        <v>155125</v>
      </c>
      <c r="AF2" s="5">
        <f>IFERROR(AE2/AB2,"")</f>
        <v>1939.0625</v>
      </c>
      <c r="AG2" s="5">
        <v>1635.85</v>
      </c>
      <c r="AH2" s="49">
        <f>IFERROR(AG2/$I2,"")</f>
        <v>14.871363636363636</v>
      </c>
      <c r="AI2" s="5">
        <v>0</v>
      </c>
      <c r="AJ2" s="5">
        <v>7</v>
      </c>
      <c r="AK2" s="4">
        <v>17</v>
      </c>
      <c r="AL2" s="7">
        <v>14</v>
      </c>
      <c r="AM2" s="4">
        <v>1</v>
      </c>
      <c r="AN2" s="4">
        <v>2</v>
      </c>
      <c r="AO2" s="11">
        <f>(AL2-AN2)/AK2*100</f>
        <v>70.588235294117652</v>
      </c>
      <c r="AP2" s="50">
        <f>IFERROR(AK2/H2,"")</f>
        <v>0.11888111888111888</v>
      </c>
      <c r="AQ2" s="7">
        <v>12</v>
      </c>
      <c r="AR2" s="50">
        <f>IFERROR(AQ2/H2,"")</f>
        <v>8.3916083916083919E-2</v>
      </c>
      <c r="AS2" s="4">
        <v>0</v>
      </c>
    </row>
    <row r="3" spans="1:45" ht="18" customHeight="1" x14ac:dyDescent="0.3">
      <c r="A3" s="4" t="s">
        <v>34</v>
      </c>
      <c r="B3" s="4" t="s">
        <v>4</v>
      </c>
      <c r="C3" s="4" t="s">
        <v>47</v>
      </c>
      <c r="D3" s="4" t="s">
        <v>50</v>
      </c>
      <c r="E3" s="4" t="s">
        <v>51</v>
      </c>
      <c r="F3" s="7" t="s">
        <v>48</v>
      </c>
      <c r="G3" s="4" t="s">
        <v>49</v>
      </c>
      <c r="H3" s="5">
        <v>184</v>
      </c>
      <c r="I3" s="5">
        <v>135</v>
      </c>
      <c r="J3" s="6">
        <f t="shared" ref="J3:J66" si="0">I3/H3</f>
        <v>0.73369565217391308</v>
      </c>
      <c r="K3" s="5"/>
      <c r="L3" s="5"/>
      <c r="M3" s="5"/>
      <c r="N3" s="9">
        <v>18</v>
      </c>
      <c r="O3" s="46">
        <f t="shared" ref="O3:O66" si="1">IFERROR(N3/$I3,"")</f>
        <v>0.13333333333333333</v>
      </c>
      <c r="P3" s="5">
        <v>7</v>
      </c>
      <c r="Q3" s="46">
        <f t="shared" ref="Q3" si="2">IFERROR(P3/$I3,"")</f>
        <v>5.185185185185185E-2</v>
      </c>
      <c r="R3" s="5">
        <v>53</v>
      </c>
      <c r="S3" s="46">
        <f t="shared" ref="S3" si="3">IFERROR(R3/$I3,"")</f>
        <v>0.3925925925925926</v>
      </c>
      <c r="T3" s="5">
        <v>1</v>
      </c>
      <c r="U3" s="46">
        <f t="shared" ref="U3" si="4">IFERROR(T3/$I3,"")</f>
        <v>7.4074074074074077E-3</v>
      </c>
      <c r="V3" s="5">
        <v>32</v>
      </c>
      <c r="W3" s="46">
        <f t="shared" ref="W3" si="5">IFERROR(V3/$I3,"")</f>
        <v>0.23703703703703705</v>
      </c>
      <c r="X3" s="5">
        <v>37</v>
      </c>
      <c r="Y3" s="46">
        <f t="shared" ref="Y3" si="6">IFERROR(X3/$I3,"")</f>
        <v>0.27407407407407408</v>
      </c>
      <c r="Z3" s="5">
        <v>20</v>
      </c>
      <c r="AA3" s="46">
        <f t="shared" ref="AA3" si="7">IFERROR(Z3/$I3,"")</f>
        <v>0.14814814814814814</v>
      </c>
      <c r="AB3" s="5">
        <v>92</v>
      </c>
      <c r="AC3" s="46">
        <f t="shared" ref="AC3:AC66" si="8">IFERROR(AB3/$H3,"")</f>
        <v>0.5</v>
      </c>
      <c r="AD3" s="5">
        <v>116</v>
      </c>
      <c r="AE3" s="5">
        <v>271346</v>
      </c>
      <c r="AF3" s="5">
        <f t="shared" ref="AF3:AF66" si="9">IFERROR(AE3/AB3,"")</f>
        <v>2949.413043478261</v>
      </c>
      <c r="AG3" s="5">
        <v>338.14</v>
      </c>
      <c r="AH3" s="49">
        <f t="shared" ref="AH3:AH66" si="10">IFERROR(AG3/$I3,"")</f>
        <v>2.5047407407407407</v>
      </c>
      <c r="AI3" s="5">
        <v>0</v>
      </c>
      <c r="AJ3" s="5">
        <v>24</v>
      </c>
      <c r="AK3" s="4">
        <v>26</v>
      </c>
      <c r="AL3" s="7">
        <v>20</v>
      </c>
      <c r="AM3" s="4">
        <v>4</v>
      </c>
      <c r="AN3" s="4">
        <v>2</v>
      </c>
      <c r="AO3" s="11">
        <f t="shared" ref="AO3:AO66" si="11">(AL3-AN3)/AK3*100</f>
        <v>69.230769230769226</v>
      </c>
      <c r="AP3" s="50">
        <f t="shared" ref="AP3:AP66" si="12">IFERROR(AK3/H3,"")</f>
        <v>0.14130434782608695</v>
      </c>
      <c r="AQ3" s="7">
        <v>11</v>
      </c>
      <c r="AR3" s="50">
        <f t="shared" ref="AR3:AR66" si="13">IFERROR(AQ3/H3,"")</f>
        <v>5.9782608695652176E-2</v>
      </c>
      <c r="AS3" s="4">
        <v>0</v>
      </c>
    </row>
    <row r="4" spans="1:45" ht="18" customHeight="1" x14ac:dyDescent="0.3">
      <c r="A4" s="4" t="s">
        <v>34</v>
      </c>
      <c r="B4" s="4" t="s">
        <v>4</v>
      </c>
      <c r="C4" s="4" t="s">
        <v>47</v>
      </c>
      <c r="D4" s="4" t="s">
        <v>52</v>
      </c>
      <c r="E4" s="4" t="s">
        <v>53</v>
      </c>
      <c r="F4" s="7" t="s">
        <v>48</v>
      </c>
      <c r="G4" s="4" t="s">
        <v>54</v>
      </c>
      <c r="H4" s="5">
        <v>144</v>
      </c>
      <c r="I4" s="5">
        <v>104</v>
      </c>
      <c r="J4" s="6">
        <f t="shared" si="0"/>
        <v>0.72222222222222221</v>
      </c>
      <c r="K4" s="5"/>
      <c r="L4" s="5"/>
      <c r="M4" s="5"/>
      <c r="N4" s="9">
        <v>28</v>
      </c>
      <c r="O4" s="46">
        <f t="shared" si="1"/>
        <v>0.26923076923076922</v>
      </c>
      <c r="P4" s="5">
        <v>5</v>
      </c>
      <c r="Q4" s="46">
        <f t="shared" ref="Q4" si="14">IFERROR(P4/$I4,"")</f>
        <v>4.807692307692308E-2</v>
      </c>
      <c r="R4" s="5">
        <v>51</v>
      </c>
      <c r="S4" s="46">
        <f t="shared" ref="S4" si="15">IFERROR(R4/$I4,"")</f>
        <v>0.49038461538461536</v>
      </c>
      <c r="T4" s="5">
        <v>0</v>
      </c>
      <c r="U4" s="46">
        <f t="shared" ref="U4" si="16">IFERROR(T4/$I4,"")</f>
        <v>0</v>
      </c>
      <c r="V4" s="5">
        <v>24</v>
      </c>
      <c r="W4" s="46">
        <f t="shared" ref="W4" si="17">IFERROR(V4/$I4,"")</f>
        <v>0.23076923076923078</v>
      </c>
      <c r="X4" s="5">
        <v>30</v>
      </c>
      <c r="Y4" s="46">
        <f t="shared" ref="Y4" si="18">IFERROR(X4/$I4,"")</f>
        <v>0.28846153846153844</v>
      </c>
      <c r="Z4" s="5">
        <v>7</v>
      </c>
      <c r="AA4" s="46">
        <f t="shared" ref="AA4" si="19">IFERROR(Z4/$I4,"")</f>
        <v>6.7307692307692304E-2</v>
      </c>
      <c r="AB4" s="5">
        <v>68</v>
      </c>
      <c r="AC4" s="46">
        <f t="shared" si="8"/>
        <v>0.47222222222222221</v>
      </c>
      <c r="AD4" s="5">
        <v>88</v>
      </c>
      <c r="AE4" s="5">
        <v>143926</v>
      </c>
      <c r="AF4" s="5">
        <f t="shared" si="9"/>
        <v>2116.5588235294117</v>
      </c>
      <c r="AG4" s="5">
        <v>730</v>
      </c>
      <c r="AH4" s="49">
        <f t="shared" si="10"/>
        <v>7.0192307692307692</v>
      </c>
      <c r="AI4" s="5">
        <v>0</v>
      </c>
      <c r="AJ4" s="5">
        <v>21</v>
      </c>
      <c r="AK4" s="4">
        <v>18</v>
      </c>
      <c r="AL4" s="7">
        <v>17</v>
      </c>
      <c r="AM4" s="4">
        <v>1</v>
      </c>
      <c r="AN4" s="4">
        <v>0</v>
      </c>
      <c r="AO4" s="11">
        <f t="shared" si="11"/>
        <v>94.444444444444443</v>
      </c>
      <c r="AP4" s="50">
        <f t="shared" si="12"/>
        <v>0.125</v>
      </c>
      <c r="AQ4" s="7">
        <v>2</v>
      </c>
      <c r="AR4" s="50">
        <f t="shared" si="13"/>
        <v>1.3888888888888888E-2</v>
      </c>
      <c r="AS4" s="4">
        <v>0</v>
      </c>
    </row>
    <row r="5" spans="1:45" ht="18" customHeight="1" x14ac:dyDescent="0.3">
      <c r="A5" s="4" t="s">
        <v>34</v>
      </c>
      <c r="B5" s="4" t="s">
        <v>4</v>
      </c>
      <c r="C5" s="4" t="s">
        <v>47</v>
      </c>
      <c r="D5" s="4" t="s">
        <v>55</v>
      </c>
      <c r="E5" s="4" t="s">
        <v>56</v>
      </c>
      <c r="F5" s="7" t="s">
        <v>48</v>
      </c>
      <c r="G5" s="4" t="s">
        <v>57</v>
      </c>
      <c r="H5" s="5">
        <v>199</v>
      </c>
      <c r="I5" s="5">
        <v>156</v>
      </c>
      <c r="J5" s="6">
        <f t="shared" si="0"/>
        <v>0.7839195979899497</v>
      </c>
      <c r="K5" s="5"/>
      <c r="L5" s="5"/>
      <c r="M5" s="5"/>
      <c r="N5" s="9">
        <v>29</v>
      </c>
      <c r="O5" s="46">
        <f t="shared" si="1"/>
        <v>0.1858974358974359</v>
      </c>
      <c r="P5" s="5">
        <v>8</v>
      </c>
      <c r="Q5" s="46">
        <f t="shared" ref="Q5" si="20">IFERROR(P5/$I5,"")</f>
        <v>5.128205128205128E-2</v>
      </c>
      <c r="R5" s="5">
        <v>75</v>
      </c>
      <c r="S5" s="46">
        <f t="shared" ref="S5" si="21">IFERROR(R5/$I5,"")</f>
        <v>0.48076923076923078</v>
      </c>
      <c r="T5" s="5">
        <v>1</v>
      </c>
      <c r="U5" s="46">
        <f t="shared" ref="U5" si="22">IFERROR(T5/$I5,"")</f>
        <v>6.41025641025641E-3</v>
      </c>
      <c r="V5" s="5">
        <v>28</v>
      </c>
      <c r="W5" s="46">
        <f t="shared" ref="W5" si="23">IFERROR(V5/$I5,"")</f>
        <v>0.17948717948717949</v>
      </c>
      <c r="X5" s="5">
        <v>39</v>
      </c>
      <c r="Y5" s="46">
        <f t="shared" ref="Y5" si="24">IFERROR(X5/$I5,"")</f>
        <v>0.25</v>
      </c>
      <c r="Z5" s="5">
        <v>21</v>
      </c>
      <c r="AA5" s="46">
        <f t="shared" ref="AA5" si="25">IFERROR(Z5/$I5,"")</f>
        <v>0.13461538461538461</v>
      </c>
      <c r="AB5" s="5">
        <v>103</v>
      </c>
      <c r="AC5" s="46">
        <f t="shared" si="8"/>
        <v>0.51758793969849248</v>
      </c>
      <c r="AD5" s="5">
        <v>129</v>
      </c>
      <c r="AE5" s="5">
        <v>217650.4</v>
      </c>
      <c r="AF5" s="5">
        <f t="shared" si="9"/>
        <v>2113.1106796116505</v>
      </c>
      <c r="AG5" s="5">
        <v>253.38</v>
      </c>
      <c r="AH5" s="49">
        <f t="shared" si="10"/>
        <v>1.6242307692307691</v>
      </c>
      <c r="AI5" s="5">
        <v>1702</v>
      </c>
      <c r="AJ5" s="5">
        <v>21</v>
      </c>
      <c r="AK5" s="4">
        <v>23</v>
      </c>
      <c r="AL5" s="7">
        <v>19</v>
      </c>
      <c r="AM5" s="4">
        <v>1</v>
      </c>
      <c r="AN5" s="4">
        <v>3</v>
      </c>
      <c r="AO5" s="11">
        <f t="shared" si="11"/>
        <v>69.565217391304344</v>
      </c>
      <c r="AP5" s="50">
        <f t="shared" si="12"/>
        <v>0.11557788944723618</v>
      </c>
      <c r="AQ5" s="7">
        <v>9</v>
      </c>
      <c r="AR5" s="50">
        <f t="shared" si="13"/>
        <v>4.5226130653266333E-2</v>
      </c>
      <c r="AS5" s="4">
        <v>0</v>
      </c>
    </row>
    <row r="6" spans="1:45" ht="18" customHeight="1" x14ac:dyDescent="0.3">
      <c r="A6" s="4" t="s">
        <v>34</v>
      </c>
      <c r="B6" s="4" t="s">
        <v>4</v>
      </c>
      <c r="C6" s="4" t="s">
        <v>47</v>
      </c>
      <c r="D6" s="4" t="s">
        <v>58</v>
      </c>
      <c r="E6" s="4" t="s">
        <v>59</v>
      </c>
      <c r="F6" s="7" t="s">
        <v>48</v>
      </c>
      <c r="G6" s="4" t="s">
        <v>57</v>
      </c>
      <c r="H6" s="5">
        <v>211</v>
      </c>
      <c r="I6" s="5">
        <v>173</v>
      </c>
      <c r="J6" s="6">
        <f t="shared" si="0"/>
        <v>0.81990521327014221</v>
      </c>
      <c r="K6" s="5"/>
      <c r="L6" s="5"/>
      <c r="M6" s="5"/>
      <c r="N6" s="9">
        <v>4</v>
      </c>
      <c r="O6" s="46">
        <f t="shared" si="1"/>
        <v>2.3121387283236993E-2</v>
      </c>
      <c r="P6" s="5">
        <v>4</v>
      </c>
      <c r="Q6" s="46">
        <f t="shared" ref="Q6" si="26">IFERROR(P6/$I6,"")</f>
        <v>2.3121387283236993E-2</v>
      </c>
      <c r="R6" s="5">
        <v>69</v>
      </c>
      <c r="S6" s="46">
        <f t="shared" ref="S6" si="27">IFERROR(R6/$I6,"")</f>
        <v>0.39884393063583817</v>
      </c>
      <c r="T6" s="5">
        <v>2</v>
      </c>
      <c r="U6" s="46">
        <f t="shared" ref="U6" si="28">IFERROR(T6/$I6,"")</f>
        <v>1.1560693641618497E-2</v>
      </c>
      <c r="V6" s="5">
        <v>31</v>
      </c>
      <c r="W6" s="46">
        <f t="shared" ref="W6" si="29">IFERROR(V6/$I6,"")</f>
        <v>0.1791907514450867</v>
      </c>
      <c r="X6" s="5">
        <v>25</v>
      </c>
      <c r="Y6" s="46">
        <f t="shared" ref="Y6" si="30">IFERROR(X6/$I6,"")</f>
        <v>0.14450867052023122</v>
      </c>
      <c r="Z6" s="5">
        <v>17</v>
      </c>
      <c r="AA6" s="46">
        <f t="shared" ref="AA6" si="31">IFERROR(Z6/$I6,"")</f>
        <v>9.8265895953757232E-2</v>
      </c>
      <c r="AB6" s="5">
        <v>109</v>
      </c>
      <c r="AC6" s="46">
        <f t="shared" si="8"/>
        <v>0.51658767772511849</v>
      </c>
      <c r="AD6" s="5">
        <v>123</v>
      </c>
      <c r="AE6" s="5">
        <v>196844</v>
      </c>
      <c r="AF6" s="5">
        <f t="shared" si="9"/>
        <v>1805.9082568807339</v>
      </c>
      <c r="AG6" s="5">
        <v>896</v>
      </c>
      <c r="AH6" s="49">
        <f t="shared" si="10"/>
        <v>5.1791907514450868</v>
      </c>
      <c r="AI6" s="5">
        <v>6372</v>
      </c>
      <c r="AJ6" s="5">
        <v>19</v>
      </c>
      <c r="AK6" s="4">
        <v>19</v>
      </c>
      <c r="AL6" s="7">
        <v>18</v>
      </c>
      <c r="AM6" s="4">
        <v>0</v>
      </c>
      <c r="AN6" s="4">
        <v>1</v>
      </c>
      <c r="AO6" s="11">
        <f t="shared" si="11"/>
        <v>89.473684210526315</v>
      </c>
      <c r="AP6" s="50">
        <f t="shared" si="12"/>
        <v>9.004739336492891E-2</v>
      </c>
      <c r="AQ6" s="7">
        <v>9</v>
      </c>
      <c r="AR6" s="50">
        <f t="shared" si="13"/>
        <v>4.2654028436018961E-2</v>
      </c>
      <c r="AS6" s="4">
        <v>0</v>
      </c>
    </row>
    <row r="7" spans="1:45" ht="18" customHeight="1" x14ac:dyDescent="0.3">
      <c r="A7" s="4" t="s">
        <v>34</v>
      </c>
      <c r="B7" s="4" t="s">
        <v>4</v>
      </c>
      <c r="C7" s="4" t="s">
        <v>47</v>
      </c>
      <c r="D7" s="4"/>
      <c r="E7" s="4" t="s">
        <v>60</v>
      </c>
      <c r="F7" s="7" t="s">
        <v>48</v>
      </c>
      <c r="G7" s="4" t="s">
        <v>61</v>
      </c>
      <c r="H7" s="5">
        <v>78</v>
      </c>
      <c r="I7" s="5">
        <v>71</v>
      </c>
      <c r="J7" s="6">
        <f t="shared" si="0"/>
        <v>0.91025641025641024</v>
      </c>
      <c r="K7" s="5"/>
      <c r="L7" s="5"/>
      <c r="M7" s="5"/>
      <c r="N7" s="9">
        <v>0</v>
      </c>
      <c r="O7" s="46">
        <f t="shared" si="1"/>
        <v>0</v>
      </c>
      <c r="P7" s="5">
        <v>0</v>
      </c>
      <c r="Q7" s="46">
        <f t="shared" ref="Q7" si="32">IFERROR(P7/$I7,"")</f>
        <v>0</v>
      </c>
      <c r="R7" s="5">
        <v>30</v>
      </c>
      <c r="S7" s="46">
        <f t="shared" ref="S7" si="33">IFERROR(R7/$I7,"")</f>
        <v>0.42253521126760563</v>
      </c>
      <c r="T7" s="5">
        <v>0</v>
      </c>
      <c r="U7" s="46">
        <f t="shared" ref="U7" si="34">IFERROR(T7/$I7,"")</f>
        <v>0</v>
      </c>
      <c r="V7" s="5">
        <v>2</v>
      </c>
      <c r="W7" s="46">
        <f t="shared" ref="W7" si="35">IFERROR(V7/$I7,"")</f>
        <v>2.8169014084507043E-2</v>
      </c>
      <c r="X7" s="5">
        <v>0</v>
      </c>
      <c r="Y7" s="46">
        <f t="shared" ref="Y7" si="36">IFERROR(X7/$I7,"")</f>
        <v>0</v>
      </c>
      <c r="Z7" s="5">
        <v>2</v>
      </c>
      <c r="AA7" s="46">
        <f t="shared" ref="AA7" si="37">IFERROR(Z7/$I7,"")</f>
        <v>2.8169014084507043E-2</v>
      </c>
      <c r="AB7" s="5">
        <v>29</v>
      </c>
      <c r="AC7" s="46">
        <f t="shared" si="8"/>
        <v>0.37179487179487181</v>
      </c>
      <c r="AD7" s="5">
        <v>34</v>
      </c>
      <c r="AE7" s="5">
        <v>43116</v>
      </c>
      <c r="AF7" s="5">
        <f t="shared" si="9"/>
        <v>1486.7586206896551</v>
      </c>
      <c r="AG7" s="5">
        <v>648</v>
      </c>
      <c r="AH7" s="49">
        <f t="shared" si="10"/>
        <v>9.126760563380282</v>
      </c>
      <c r="AI7" s="5">
        <v>0</v>
      </c>
      <c r="AJ7" s="5">
        <v>5</v>
      </c>
      <c r="AK7" s="4">
        <v>23</v>
      </c>
      <c r="AL7" s="7">
        <v>18</v>
      </c>
      <c r="AM7" s="4">
        <v>3</v>
      </c>
      <c r="AN7" s="4">
        <v>2</v>
      </c>
      <c r="AO7" s="11">
        <f t="shared" si="11"/>
        <v>69.565217391304344</v>
      </c>
      <c r="AP7" s="50">
        <f t="shared" si="12"/>
        <v>0.29487179487179488</v>
      </c>
      <c r="AQ7" s="7">
        <v>5</v>
      </c>
      <c r="AR7" s="50">
        <f t="shared" si="13"/>
        <v>6.4102564102564097E-2</v>
      </c>
      <c r="AS7" s="4">
        <v>0</v>
      </c>
    </row>
    <row r="8" spans="1:45" ht="18" customHeight="1" x14ac:dyDescent="0.3">
      <c r="A8" s="4" t="s">
        <v>34</v>
      </c>
      <c r="B8" s="4" t="s">
        <v>4</v>
      </c>
      <c r="C8" s="4" t="s">
        <v>47</v>
      </c>
      <c r="D8" s="4"/>
      <c r="E8" s="4" t="s">
        <v>62</v>
      </c>
      <c r="F8" s="7" t="s">
        <v>48</v>
      </c>
      <c r="G8" s="4" t="s">
        <v>61</v>
      </c>
      <c r="H8" s="5">
        <v>157</v>
      </c>
      <c r="I8" s="5">
        <v>148</v>
      </c>
      <c r="J8" s="6">
        <f t="shared" si="0"/>
        <v>0.9426751592356688</v>
      </c>
      <c r="K8" s="5"/>
      <c r="L8" s="5"/>
      <c r="M8" s="5"/>
      <c r="N8" s="9">
        <v>4</v>
      </c>
      <c r="O8" s="46">
        <f t="shared" si="1"/>
        <v>2.7027027027027029E-2</v>
      </c>
      <c r="P8" s="5">
        <v>1</v>
      </c>
      <c r="Q8" s="46">
        <f t="shared" ref="Q8" si="38">IFERROR(P8/$I8,"")</f>
        <v>6.7567567567567571E-3</v>
      </c>
      <c r="R8" s="5">
        <v>74</v>
      </c>
      <c r="S8" s="46">
        <f t="shared" ref="S8" si="39">IFERROR(R8/$I8,"")</f>
        <v>0.5</v>
      </c>
      <c r="T8" s="5">
        <v>1</v>
      </c>
      <c r="U8" s="46">
        <f t="shared" ref="U8" si="40">IFERROR(T8/$I8,"")</f>
        <v>6.7567567567567571E-3</v>
      </c>
      <c r="V8" s="5">
        <v>7</v>
      </c>
      <c r="W8" s="46">
        <f t="shared" ref="W8" si="41">IFERROR(V8/$I8,"")</f>
        <v>4.72972972972973E-2</v>
      </c>
      <c r="X8" s="5">
        <v>10</v>
      </c>
      <c r="Y8" s="46">
        <f t="shared" ref="Y8" si="42">IFERROR(X8/$I8,"")</f>
        <v>6.7567567567567571E-2</v>
      </c>
      <c r="Z8" s="5">
        <v>1</v>
      </c>
      <c r="AA8" s="46">
        <f t="shared" ref="AA8" si="43">IFERROR(Z8/$I8,"")</f>
        <v>6.7567567567567571E-3</v>
      </c>
      <c r="AB8" s="5">
        <v>93</v>
      </c>
      <c r="AC8" s="46">
        <f t="shared" si="8"/>
        <v>0.59235668789808915</v>
      </c>
      <c r="AD8" s="5">
        <v>110</v>
      </c>
      <c r="AE8" s="5">
        <v>163735</v>
      </c>
      <c r="AF8" s="5">
        <f t="shared" si="9"/>
        <v>1760.5913978494623</v>
      </c>
      <c r="AG8" s="5">
        <v>648</v>
      </c>
      <c r="AH8" s="49">
        <f t="shared" si="10"/>
        <v>4.3783783783783781</v>
      </c>
      <c r="AI8" s="5">
        <v>0</v>
      </c>
      <c r="AJ8" s="5">
        <v>6</v>
      </c>
      <c r="AK8" s="4">
        <v>27</v>
      </c>
      <c r="AL8" s="7">
        <v>23</v>
      </c>
      <c r="AM8" s="4">
        <v>2</v>
      </c>
      <c r="AN8" s="4">
        <v>2</v>
      </c>
      <c r="AO8" s="11">
        <f t="shared" si="11"/>
        <v>77.777777777777786</v>
      </c>
      <c r="AP8" s="50">
        <f t="shared" si="12"/>
        <v>0.17197452229299362</v>
      </c>
      <c r="AQ8" s="7">
        <v>12</v>
      </c>
      <c r="AR8" s="50">
        <f t="shared" si="13"/>
        <v>7.6433121019108277E-2</v>
      </c>
      <c r="AS8" s="4">
        <v>0</v>
      </c>
    </row>
    <row r="9" spans="1:45" ht="18" customHeight="1" x14ac:dyDescent="0.3">
      <c r="A9" s="4" t="s">
        <v>34</v>
      </c>
      <c r="B9" s="4" t="s">
        <v>4</v>
      </c>
      <c r="C9" s="4" t="s">
        <v>47</v>
      </c>
      <c r="D9" s="4" t="s">
        <v>63</v>
      </c>
      <c r="E9" s="4" t="s">
        <v>64</v>
      </c>
      <c r="F9" s="7" t="s">
        <v>48</v>
      </c>
      <c r="G9" s="4" t="s">
        <v>65</v>
      </c>
      <c r="H9" s="5">
        <v>222</v>
      </c>
      <c r="I9" s="5">
        <v>164</v>
      </c>
      <c r="J9" s="6">
        <f t="shared" si="0"/>
        <v>0.73873873873873874</v>
      </c>
      <c r="K9" s="5"/>
      <c r="L9" s="5"/>
      <c r="M9" s="5"/>
      <c r="N9" s="9">
        <v>18</v>
      </c>
      <c r="O9" s="46">
        <f t="shared" si="1"/>
        <v>0.10975609756097561</v>
      </c>
      <c r="P9" s="5">
        <v>7</v>
      </c>
      <c r="Q9" s="46">
        <f t="shared" ref="Q9" si="44">IFERROR(P9/$I9,"")</f>
        <v>4.2682926829268296E-2</v>
      </c>
      <c r="R9" s="5">
        <v>65</v>
      </c>
      <c r="S9" s="46">
        <f t="shared" ref="S9" si="45">IFERROR(R9/$I9,"")</f>
        <v>0.39634146341463417</v>
      </c>
      <c r="T9" s="5">
        <v>2</v>
      </c>
      <c r="U9" s="46">
        <f t="shared" ref="U9" si="46">IFERROR(T9/$I9,"")</f>
        <v>1.2195121951219513E-2</v>
      </c>
      <c r="V9" s="5">
        <v>35</v>
      </c>
      <c r="W9" s="46">
        <f t="shared" ref="W9" si="47">IFERROR(V9/$I9,"")</f>
        <v>0.21341463414634146</v>
      </c>
      <c r="X9" s="5">
        <v>15</v>
      </c>
      <c r="Y9" s="46">
        <f t="shared" ref="Y9" si="48">IFERROR(X9/$I9,"")</f>
        <v>9.1463414634146339E-2</v>
      </c>
      <c r="Z9" s="5">
        <v>9</v>
      </c>
      <c r="AA9" s="46">
        <f t="shared" ref="AA9" si="49">IFERROR(Z9/$I9,"")</f>
        <v>5.4878048780487805E-2</v>
      </c>
      <c r="AB9" s="5">
        <v>79</v>
      </c>
      <c r="AC9" s="46">
        <f t="shared" si="8"/>
        <v>0.35585585585585583</v>
      </c>
      <c r="AD9" s="5">
        <v>93</v>
      </c>
      <c r="AE9" s="5">
        <v>136655</v>
      </c>
      <c r="AF9" s="5">
        <f t="shared" si="9"/>
        <v>1729.8101265822784</v>
      </c>
      <c r="AG9" s="5">
        <v>489</v>
      </c>
      <c r="AH9" s="49">
        <f t="shared" si="10"/>
        <v>2.9817073170731709</v>
      </c>
      <c r="AI9" s="5">
        <v>5395</v>
      </c>
      <c r="AJ9" s="5">
        <v>26</v>
      </c>
      <c r="AK9" s="4">
        <v>16</v>
      </c>
      <c r="AL9" s="7">
        <v>9</v>
      </c>
      <c r="AM9" s="4">
        <v>6</v>
      </c>
      <c r="AN9" s="4">
        <v>1</v>
      </c>
      <c r="AO9" s="11">
        <f t="shared" si="11"/>
        <v>50</v>
      </c>
      <c r="AP9" s="50">
        <f t="shared" si="12"/>
        <v>7.2072072072072071E-2</v>
      </c>
      <c r="AQ9" s="7">
        <v>13</v>
      </c>
      <c r="AR9" s="50">
        <f t="shared" si="13"/>
        <v>5.8558558558558557E-2</v>
      </c>
      <c r="AS9" s="4">
        <v>0</v>
      </c>
    </row>
    <row r="10" spans="1:45" ht="18" customHeight="1" x14ac:dyDescent="0.3">
      <c r="A10" s="4" t="s">
        <v>34</v>
      </c>
      <c r="B10" s="4" t="s">
        <v>4</v>
      </c>
      <c r="C10" s="4" t="s">
        <v>47</v>
      </c>
      <c r="D10" s="4" t="s">
        <v>66</v>
      </c>
      <c r="E10" s="4" t="s">
        <v>67</v>
      </c>
      <c r="F10" s="7" t="s">
        <v>48</v>
      </c>
      <c r="G10" s="4" t="s">
        <v>65</v>
      </c>
      <c r="H10" s="5">
        <v>238</v>
      </c>
      <c r="I10" s="5">
        <v>176</v>
      </c>
      <c r="J10" s="6">
        <f t="shared" si="0"/>
        <v>0.73949579831932777</v>
      </c>
      <c r="K10" s="5"/>
      <c r="L10" s="5"/>
      <c r="M10" s="5"/>
      <c r="N10" s="9">
        <v>17</v>
      </c>
      <c r="O10" s="46">
        <f t="shared" si="1"/>
        <v>9.6590909090909088E-2</v>
      </c>
      <c r="P10" s="5">
        <v>4</v>
      </c>
      <c r="Q10" s="46">
        <f t="shared" ref="Q10" si="50">IFERROR(P10/$I10,"")</f>
        <v>2.2727272727272728E-2</v>
      </c>
      <c r="R10" s="5">
        <v>62</v>
      </c>
      <c r="S10" s="46">
        <f t="shared" ref="S10" si="51">IFERROR(R10/$I10,"")</f>
        <v>0.35227272727272729</v>
      </c>
      <c r="T10" s="5">
        <v>1</v>
      </c>
      <c r="U10" s="46">
        <f t="shared" ref="U10" si="52">IFERROR(T10/$I10,"")</f>
        <v>5.681818181818182E-3</v>
      </c>
      <c r="V10" s="5">
        <v>10</v>
      </c>
      <c r="W10" s="46">
        <f t="shared" ref="W10" si="53">IFERROR(V10/$I10,"")</f>
        <v>5.6818181818181816E-2</v>
      </c>
      <c r="X10" s="5">
        <v>19</v>
      </c>
      <c r="Y10" s="46">
        <f t="shared" ref="Y10" si="54">IFERROR(X10/$I10,"")</f>
        <v>0.10795454545454546</v>
      </c>
      <c r="Z10" s="5">
        <v>7</v>
      </c>
      <c r="AA10" s="46">
        <f t="shared" ref="AA10" si="55">IFERROR(Z10/$I10,"")</f>
        <v>3.9772727272727272E-2</v>
      </c>
      <c r="AB10" s="5">
        <v>64</v>
      </c>
      <c r="AC10" s="46">
        <f t="shared" si="8"/>
        <v>0.26890756302521007</v>
      </c>
      <c r="AD10" s="5">
        <v>86</v>
      </c>
      <c r="AE10" s="5">
        <v>149250</v>
      </c>
      <c r="AF10" s="5">
        <f t="shared" si="9"/>
        <v>2332.03125</v>
      </c>
      <c r="AG10" s="5">
        <v>943.01</v>
      </c>
      <c r="AH10" s="49">
        <f t="shared" si="10"/>
        <v>5.358011363636364</v>
      </c>
      <c r="AI10" s="5">
        <v>347</v>
      </c>
      <c r="AJ10" s="5">
        <v>30</v>
      </c>
      <c r="AK10" s="4">
        <v>13</v>
      </c>
      <c r="AL10" s="7">
        <v>11</v>
      </c>
      <c r="AM10" s="4">
        <v>2</v>
      </c>
      <c r="AN10" s="4">
        <v>0</v>
      </c>
      <c r="AO10" s="11">
        <f t="shared" si="11"/>
        <v>84.615384615384613</v>
      </c>
      <c r="AP10" s="50">
        <f t="shared" si="12"/>
        <v>5.4621848739495799E-2</v>
      </c>
      <c r="AQ10" s="7">
        <v>4</v>
      </c>
      <c r="AR10" s="50">
        <f t="shared" si="13"/>
        <v>1.680672268907563E-2</v>
      </c>
      <c r="AS10" s="4">
        <v>0</v>
      </c>
    </row>
    <row r="11" spans="1:45" ht="18" customHeight="1" x14ac:dyDescent="0.3">
      <c r="A11" s="4" t="s">
        <v>34</v>
      </c>
      <c r="B11" s="4" t="s">
        <v>4</v>
      </c>
      <c r="C11" s="4" t="s">
        <v>47</v>
      </c>
      <c r="D11" s="4" t="s">
        <v>68</v>
      </c>
      <c r="E11" s="4" t="s">
        <v>69</v>
      </c>
      <c r="F11" s="7" t="s">
        <v>48</v>
      </c>
      <c r="G11" s="4" t="s">
        <v>57</v>
      </c>
      <c r="H11" s="5">
        <v>190</v>
      </c>
      <c r="I11" s="5">
        <v>140</v>
      </c>
      <c r="J11" s="6">
        <f t="shared" si="0"/>
        <v>0.73684210526315785</v>
      </c>
      <c r="K11" s="5"/>
      <c r="L11" s="5"/>
      <c r="M11" s="5"/>
      <c r="N11" s="9">
        <v>29</v>
      </c>
      <c r="O11" s="46">
        <f t="shared" si="1"/>
        <v>0.20714285714285716</v>
      </c>
      <c r="P11" s="5">
        <v>3</v>
      </c>
      <c r="Q11" s="46">
        <f t="shared" ref="Q11" si="56">IFERROR(P11/$I11,"")</f>
        <v>2.1428571428571429E-2</v>
      </c>
      <c r="R11" s="5">
        <v>57</v>
      </c>
      <c r="S11" s="46">
        <f t="shared" ref="S11" si="57">IFERROR(R11/$I11,"")</f>
        <v>0.40714285714285714</v>
      </c>
      <c r="T11" s="5">
        <v>3</v>
      </c>
      <c r="U11" s="46">
        <f t="shared" ref="U11" si="58">IFERROR(T11/$I11,"")</f>
        <v>2.1428571428571429E-2</v>
      </c>
      <c r="V11" s="5">
        <v>23</v>
      </c>
      <c r="W11" s="46">
        <f t="shared" ref="W11" si="59">IFERROR(V11/$I11,"")</f>
        <v>0.16428571428571428</v>
      </c>
      <c r="X11" s="5">
        <v>31</v>
      </c>
      <c r="Y11" s="46">
        <f t="shared" ref="Y11" si="60">IFERROR(X11/$I11,"")</f>
        <v>0.22142857142857142</v>
      </c>
      <c r="Z11" s="5">
        <v>5</v>
      </c>
      <c r="AA11" s="46">
        <f t="shared" ref="AA11" si="61">IFERROR(Z11/$I11,"")</f>
        <v>3.5714285714285712E-2</v>
      </c>
      <c r="AB11" s="5">
        <v>102</v>
      </c>
      <c r="AC11" s="46">
        <f t="shared" si="8"/>
        <v>0.5368421052631579</v>
      </c>
      <c r="AD11" s="5">
        <v>116</v>
      </c>
      <c r="AE11" s="5">
        <v>202392.4</v>
      </c>
      <c r="AF11" s="5">
        <f t="shared" si="9"/>
        <v>1984.2392156862745</v>
      </c>
      <c r="AG11" s="5">
        <v>0</v>
      </c>
      <c r="AH11" s="49">
        <f t="shared" si="10"/>
        <v>0</v>
      </c>
      <c r="AI11" s="5">
        <v>347</v>
      </c>
      <c r="AJ11" s="5">
        <v>10</v>
      </c>
      <c r="AK11" s="4">
        <v>12</v>
      </c>
      <c r="AL11" s="7">
        <v>10</v>
      </c>
      <c r="AM11" s="4">
        <v>0</v>
      </c>
      <c r="AN11" s="4">
        <v>2</v>
      </c>
      <c r="AO11" s="11">
        <f t="shared" si="11"/>
        <v>66.666666666666657</v>
      </c>
      <c r="AP11" s="50">
        <f t="shared" si="12"/>
        <v>6.3157894736842107E-2</v>
      </c>
      <c r="AQ11" s="7">
        <v>8</v>
      </c>
      <c r="AR11" s="50">
        <f t="shared" si="13"/>
        <v>4.2105263157894736E-2</v>
      </c>
      <c r="AS11" s="4">
        <v>0</v>
      </c>
    </row>
    <row r="12" spans="1:45" ht="18" customHeight="1" x14ac:dyDescent="0.3">
      <c r="A12" s="4" t="s">
        <v>34</v>
      </c>
      <c r="B12" s="4" t="s">
        <v>4</v>
      </c>
      <c r="C12" s="4" t="s">
        <v>47</v>
      </c>
      <c r="D12" s="4" t="s">
        <v>70</v>
      </c>
      <c r="E12" s="4" t="s">
        <v>71</v>
      </c>
      <c r="F12" s="7" t="s">
        <v>48</v>
      </c>
      <c r="G12" s="4" t="s">
        <v>72</v>
      </c>
      <c r="H12" s="5">
        <v>135</v>
      </c>
      <c r="I12" s="5">
        <v>118</v>
      </c>
      <c r="J12" s="6">
        <f t="shared" si="0"/>
        <v>0.87407407407407411</v>
      </c>
      <c r="K12" s="5"/>
      <c r="L12" s="5"/>
      <c r="M12" s="5"/>
      <c r="N12" s="9">
        <v>5</v>
      </c>
      <c r="O12" s="46">
        <f t="shared" si="1"/>
        <v>4.2372881355932202E-2</v>
      </c>
      <c r="P12" s="5">
        <v>7</v>
      </c>
      <c r="Q12" s="46">
        <f t="shared" ref="Q12" si="62">IFERROR(P12/$I12,"")</f>
        <v>5.9322033898305086E-2</v>
      </c>
      <c r="R12" s="5">
        <v>61</v>
      </c>
      <c r="S12" s="46">
        <f t="shared" ref="S12" si="63">IFERROR(R12/$I12,"")</f>
        <v>0.51694915254237284</v>
      </c>
      <c r="T12" s="5">
        <v>0</v>
      </c>
      <c r="U12" s="46">
        <f t="shared" ref="U12" si="64">IFERROR(T12/$I12,"")</f>
        <v>0</v>
      </c>
      <c r="V12" s="5">
        <v>38</v>
      </c>
      <c r="W12" s="46">
        <f t="shared" ref="W12" si="65">IFERROR(V12/$I12,"")</f>
        <v>0.32203389830508472</v>
      </c>
      <c r="X12" s="5">
        <v>38</v>
      </c>
      <c r="Y12" s="46">
        <f t="shared" ref="Y12" si="66">IFERROR(X12/$I12,"")</f>
        <v>0.32203389830508472</v>
      </c>
      <c r="Z12" s="5">
        <v>17</v>
      </c>
      <c r="AA12" s="46">
        <f t="shared" ref="AA12" si="67">IFERROR(Z12/$I12,"")</f>
        <v>0.1440677966101695</v>
      </c>
      <c r="AB12" s="5">
        <v>86</v>
      </c>
      <c r="AC12" s="46">
        <f t="shared" si="8"/>
        <v>0.63703703703703707</v>
      </c>
      <c r="AD12" s="5">
        <v>97</v>
      </c>
      <c r="AE12" s="5">
        <v>181468</v>
      </c>
      <c r="AF12" s="5">
        <f t="shared" si="9"/>
        <v>2110.0930232558139</v>
      </c>
      <c r="AG12" s="5">
        <v>0</v>
      </c>
      <c r="AH12" s="49">
        <f t="shared" si="10"/>
        <v>0</v>
      </c>
      <c r="AI12" s="5">
        <v>0</v>
      </c>
      <c r="AJ12" s="5">
        <v>12</v>
      </c>
      <c r="AK12" s="4">
        <v>11</v>
      </c>
      <c r="AL12" s="7">
        <v>10</v>
      </c>
      <c r="AM12" s="4">
        <v>1</v>
      </c>
      <c r="AN12" s="4">
        <v>0</v>
      </c>
      <c r="AO12" s="11">
        <f t="shared" si="11"/>
        <v>90.909090909090907</v>
      </c>
      <c r="AP12" s="50">
        <f t="shared" si="12"/>
        <v>8.1481481481481488E-2</v>
      </c>
      <c r="AQ12" s="7">
        <v>8</v>
      </c>
      <c r="AR12" s="50">
        <f t="shared" si="13"/>
        <v>5.9259259259259262E-2</v>
      </c>
      <c r="AS12" s="4">
        <v>0</v>
      </c>
    </row>
    <row r="13" spans="1:45" ht="18" customHeight="1" x14ac:dyDescent="0.3">
      <c r="A13" s="4" t="s">
        <v>34</v>
      </c>
      <c r="B13" s="4" t="s">
        <v>4</v>
      </c>
      <c r="C13" s="4" t="s">
        <v>47</v>
      </c>
      <c r="D13" s="4" t="s">
        <v>73</v>
      </c>
      <c r="E13" s="4" t="s">
        <v>74</v>
      </c>
      <c r="F13" s="7" t="s">
        <v>48</v>
      </c>
      <c r="G13" s="4" t="s">
        <v>61</v>
      </c>
      <c r="H13" s="5">
        <v>143</v>
      </c>
      <c r="I13" s="5">
        <v>100</v>
      </c>
      <c r="J13" s="6">
        <f t="shared" si="0"/>
        <v>0.69930069930069927</v>
      </c>
      <c r="K13" s="5"/>
      <c r="L13" s="5"/>
      <c r="M13" s="5"/>
      <c r="N13" s="9">
        <v>0</v>
      </c>
      <c r="O13" s="46">
        <f t="shared" si="1"/>
        <v>0</v>
      </c>
      <c r="P13" s="5">
        <v>1</v>
      </c>
      <c r="Q13" s="46">
        <f t="shared" ref="Q13" si="68">IFERROR(P13/$I13,"")</f>
        <v>0.01</v>
      </c>
      <c r="R13" s="5">
        <v>38</v>
      </c>
      <c r="S13" s="46">
        <f t="shared" ref="S13" si="69">IFERROR(R13/$I13,"")</f>
        <v>0.38</v>
      </c>
      <c r="T13" s="5">
        <v>1</v>
      </c>
      <c r="U13" s="46">
        <f t="shared" ref="U13" si="70">IFERROR(T13/$I13,"")</f>
        <v>0.01</v>
      </c>
      <c r="V13" s="5">
        <v>0</v>
      </c>
      <c r="W13" s="46">
        <f t="shared" ref="W13" si="71">IFERROR(V13/$I13,"")</f>
        <v>0</v>
      </c>
      <c r="X13" s="5">
        <v>6</v>
      </c>
      <c r="Y13" s="46">
        <f t="shared" ref="Y13" si="72">IFERROR(X13/$I13,"")</f>
        <v>0.06</v>
      </c>
      <c r="Z13" s="5">
        <v>4</v>
      </c>
      <c r="AA13" s="46">
        <f t="shared" ref="AA13" si="73">IFERROR(Z13/$I13,"")</f>
        <v>0.04</v>
      </c>
      <c r="AB13" s="5">
        <v>23</v>
      </c>
      <c r="AC13" s="46">
        <f t="shared" si="8"/>
        <v>0.16083916083916083</v>
      </c>
      <c r="AD13" s="5">
        <v>23</v>
      </c>
      <c r="AE13" s="5">
        <v>39343</v>
      </c>
      <c r="AF13" s="5">
        <f t="shared" si="9"/>
        <v>1710.5652173913043</v>
      </c>
      <c r="AG13" s="5">
        <v>1299</v>
      </c>
      <c r="AH13" s="49">
        <f t="shared" si="10"/>
        <v>12.99</v>
      </c>
      <c r="AI13" s="5">
        <v>0</v>
      </c>
      <c r="AJ13" s="5">
        <v>13</v>
      </c>
      <c r="AK13" s="4">
        <v>8</v>
      </c>
      <c r="AL13" s="7">
        <v>8</v>
      </c>
      <c r="AM13" s="4">
        <v>0</v>
      </c>
      <c r="AN13" s="4">
        <v>0</v>
      </c>
      <c r="AO13" s="11">
        <f t="shared" si="11"/>
        <v>100</v>
      </c>
      <c r="AP13" s="50">
        <f t="shared" si="12"/>
        <v>5.5944055944055944E-2</v>
      </c>
      <c r="AQ13" s="7">
        <v>10</v>
      </c>
      <c r="AR13" s="50">
        <f t="shared" si="13"/>
        <v>6.9930069930069935E-2</v>
      </c>
      <c r="AS13" s="4">
        <v>0</v>
      </c>
    </row>
    <row r="14" spans="1:45" ht="18" customHeight="1" x14ac:dyDescent="0.3">
      <c r="A14" s="4" t="s">
        <v>34</v>
      </c>
      <c r="B14" s="4" t="s">
        <v>4</v>
      </c>
      <c r="C14" s="4" t="s">
        <v>47</v>
      </c>
      <c r="D14" s="4"/>
      <c r="E14" s="4" t="s">
        <v>75</v>
      </c>
      <c r="F14" s="7" t="s">
        <v>48</v>
      </c>
      <c r="G14" s="4" t="s">
        <v>61</v>
      </c>
      <c r="H14" s="5">
        <v>45</v>
      </c>
      <c r="I14" s="5">
        <v>42</v>
      </c>
      <c r="J14" s="6">
        <f t="shared" si="0"/>
        <v>0.93333333333333335</v>
      </c>
      <c r="K14" s="5"/>
      <c r="L14" s="5"/>
      <c r="M14" s="5"/>
      <c r="N14" s="9">
        <v>0</v>
      </c>
      <c r="O14" s="46">
        <f t="shared" si="1"/>
        <v>0</v>
      </c>
      <c r="P14" s="5">
        <v>3</v>
      </c>
      <c r="Q14" s="46">
        <f t="shared" ref="Q14" si="74">IFERROR(P14/$I14,"")</f>
        <v>7.1428571428571425E-2</v>
      </c>
      <c r="R14" s="5">
        <v>12</v>
      </c>
      <c r="S14" s="46">
        <f t="shared" ref="S14" si="75">IFERROR(R14/$I14,"")</f>
        <v>0.2857142857142857</v>
      </c>
      <c r="T14" s="5">
        <v>2</v>
      </c>
      <c r="U14" s="46">
        <f t="shared" ref="U14" si="76">IFERROR(T14/$I14,"")</f>
        <v>4.7619047619047616E-2</v>
      </c>
      <c r="V14" s="5">
        <v>0</v>
      </c>
      <c r="W14" s="46">
        <f t="shared" ref="W14" si="77">IFERROR(V14/$I14,"")</f>
        <v>0</v>
      </c>
      <c r="X14" s="5">
        <v>0</v>
      </c>
      <c r="Y14" s="46">
        <f t="shared" ref="Y14" si="78">IFERROR(X14/$I14,"")</f>
        <v>0</v>
      </c>
      <c r="Z14" s="5">
        <v>0</v>
      </c>
      <c r="AA14" s="46">
        <f t="shared" ref="AA14" si="79">IFERROR(Z14/$I14,"")</f>
        <v>0</v>
      </c>
      <c r="AB14" s="5">
        <v>15</v>
      </c>
      <c r="AC14" s="46">
        <f t="shared" si="8"/>
        <v>0.33333333333333331</v>
      </c>
      <c r="AD14" s="5">
        <v>16</v>
      </c>
      <c r="AE14" s="5">
        <v>23312</v>
      </c>
      <c r="AF14" s="5">
        <f t="shared" si="9"/>
        <v>1554.1333333333334</v>
      </c>
      <c r="AG14" s="5">
        <v>0</v>
      </c>
      <c r="AH14" s="49">
        <f t="shared" si="10"/>
        <v>0</v>
      </c>
      <c r="AI14" s="5">
        <v>0</v>
      </c>
      <c r="AJ14" s="5">
        <v>7</v>
      </c>
      <c r="AK14" s="4">
        <v>11</v>
      </c>
      <c r="AL14" s="7">
        <v>11</v>
      </c>
      <c r="AM14" s="4">
        <v>0</v>
      </c>
      <c r="AN14" s="4">
        <v>0</v>
      </c>
      <c r="AO14" s="11">
        <f t="shared" si="11"/>
        <v>100</v>
      </c>
      <c r="AP14" s="50">
        <f t="shared" si="12"/>
        <v>0.24444444444444444</v>
      </c>
      <c r="AQ14" s="7">
        <v>2</v>
      </c>
      <c r="AR14" s="50">
        <f t="shared" si="13"/>
        <v>4.4444444444444446E-2</v>
      </c>
      <c r="AS14" s="4">
        <v>0</v>
      </c>
    </row>
    <row r="15" spans="1:45" ht="18" customHeight="1" x14ac:dyDescent="0.3">
      <c r="A15" s="4" t="s">
        <v>34</v>
      </c>
      <c r="B15" s="4" t="s">
        <v>76</v>
      </c>
      <c r="C15" s="4" t="s">
        <v>47</v>
      </c>
      <c r="D15" s="4"/>
      <c r="E15" s="4" t="s">
        <v>77</v>
      </c>
      <c r="F15" s="7" t="s">
        <v>48</v>
      </c>
      <c r="G15" s="4"/>
      <c r="H15" s="5">
        <v>105</v>
      </c>
      <c r="I15" s="5">
        <v>80</v>
      </c>
      <c r="J15" s="6">
        <f t="shared" si="0"/>
        <v>0.76190476190476186</v>
      </c>
      <c r="K15" s="5"/>
      <c r="L15" s="5"/>
      <c r="M15" s="5"/>
      <c r="N15" s="9">
        <v>0</v>
      </c>
      <c r="O15" s="46">
        <f t="shared" si="1"/>
        <v>0</v>
      </c>
      <c r="P15" s="5">
        <v>6</v>
      </c>
      <c r="Q15" s="46">
        <f t="shared" ref="Q15" si="80">IFERROR(P15/$I15,"")</f>
        <v>7.4999999999999997E-2</v>
      </c>
      <c r="R15" s="5">
        <v>44</v>
      </c>
      <c r="S15" s="46">
        <f t="shared" ref="S15" si="81">IFERROR(R15/$I15,"")</f>
        <v>0.55000000000000004</v>
      </c>
      <c r="T15" s="5">
        <v>1</v>
      </c>
      <c r="U15" s="46">
        <f t="shared" ref="U15" si="82">IFERROR(T15/$I15,"")</f>
        <v>1.2500000000000001E-2</v>
      </c>
      <c r="V15" s="5">
        <v>19</v>
      </c>
      <c r="W15" s="46">
        <f t="shared" ref="W15" si="83">IFERROR(V15/$I15,"")</f>
        <v>0.23749999999999999</v>
      </c>
      <c r="X15" s="5">
        <v>6</v>
      </c>
      <c r="Y15" s="46">
        <f t="shared" ref="Y15" si="84">IFERROR(X15/$I15,"")</f>
        <v>7.4999999999999997E-2</v>
      </c>
      <c r="Z15" s="5">
        <v>0</v>
      </c>
      <c r="AA15" s="46">
        <f t="shared" ref="AA15" si="85">IFERROR(Z15/$I15,"")</f>
        <v>0</v>
      </c>
      <c r="AB15" s="5">
        <v>51</v>
      </c>
      <c r="AC15" s="46">
        <f t="shared" si="8"/>
        <v>0.48571428571428571</v>
      </c>
      <c r="AD15" s="5">
        <v>0</v>
      </c>
      <c r="AE15" s="5">
        <v>88093</v>
      </c>
      <c r="AF15" s="5">
        <f t="shared" si="9"/>
        <v>1727.313725490196</v>
      </c>
      <c r="AG15" s="5">
        <v>0</v>
      </c>
      <c r="AH15" s="49">
        <f t="shared" si="10"/>
        <v>0</v>
      </c>
      <c r="AI15" s="5">
        <v>9764</v>
      </c>
      <c r="AJ15" s="5">
        <v>0</v>
      </c>
      <c r="AK15" s="4">
        <v>15</v>
      </c>
      <c r="AL15" s="7">
        <v>13</v>
      </c>
      <c r="AM15" s="4">
        <v>2</v>
      </c>
      <c r="AN15" s="4">
        <v>0</v>
      </c>
      <c r="AO15" s="11">
        <f t="shared" si="11"/>
        <v>86.666666666666671</v>
      </c>
      <c r="AP15" s="50">
        <f t="shared" si="12"/>
        <v>0.14285714285714285</v>
      </c>
      <c r="AQ15" s="7">
        <v>3</v>
      </c>
      <c r="AR15" s="50">
        <f t="shared" si="13"/>
        <v>2.8571428571428571E-2</v>
      </c>
      <c r="AS15" s="4">
        <v>0</v>
      </c>
    </row>
    <row r="16" spans="1:45" ht="18" customHeight="1" x14ac:dyDescent="0.3">
      <c r="A16" s="4" t="s">
        <v>34</v>
      </c>
      <c r="B16" s="4" t="s">
        <v>78</v>
      </c>
      <c r="C16" s="4" t="s">
        <v>47</v>
      </c>
      <c r="D16" s="4" t="s">
        <v>79</v>
      </c>
      <c r="E16" s="4" t="s">
        <v>80</v>
      </c>
      <c r="F16" s="7" t="s">
        <v>48</v>
      </c>
      <c r="G16" s="4" t="s">
        <v>81</v>
      </c>
      <c r="H16" s="5">
        <v>105</v>
      </c>
      <c r="I16" s="5">
        <v>75</v>
      </c>
      <c r="J16" s="6">
        <f t="shared" si="0"/>
        <v>0.7142857142857143</v>
      </c>
      <c r="K16" s="5"/>
      <c r="L16" s="5"/>
      <c r="M16" s="5"/>
      <c r="N16" s="9">
        <v>2</v>
      </c>
      <c r="O16" s="46">
        <f t="shared" si="1"/>
        <v>2.6666666666666668E-2</v>
      </c>
      <c r="P16" s="5">
        <v>4</v>
      </c>
      <c r="Q16" s="46">
        <f t="shared" ref="Q16" si="86">IFERROR(P16/$I16,"")</f>
        <v>5.3333333333333337E-2</v>
      </c>
      <c r="R16" s="5">
        <v>31</v>
      </c>
      <c r="S16" s="46">
        <f t="shared" ref="S16" si="87">IFERROR(R16/$I16,"")</f>
        <v>0.41333333333333333</v>
      </c>
      <c r="T16" s="5">
        <v>0</v>
      </c>
      <c r="U16" s="46">
        <f t="shared" ref="U16" si="88">IFERROR(T16/$I16,"")</f>
        <v>0</v>
      </c>
      <c r="V16" s="5">
        <v>4</v>
      </c>
      <c r="W16" s="46">
        <f t="shared" ref="W16" si="89">IFERROR(V16/$I16,"")</f>
        <v>5.3333333333333337E-2</v>
      </c>
      <c r="X16" s="5">
        <v>4</v>
      </c>
      <c r="Y16" s="46">
        <f t="shared" ref="Y16" si="90">IFERROR(X16/$I16,"")</f>
        <v>5.3333333333333337E-2</v>
      </c>
      <c r="Z16" s="5">
        <v>1</v>
      </c>
      <c r="AA16" s="46">
        <f t="shared" ref="AA16" si="91">IFERROR(Z16/$I16,"")</f>
        <v>1.3333333333333334E-2</v>
      </c>
      <c r="AB16" s="5">
        <v>34</v>
      </c>
      <c r="AC16" s="46">
        <f t="shared" si="8"/>
        <v>0.32380952380952382</v>
      </c>
      <c r="AD16" s="5">
        <v>38</v>
      </c>
      <c r="AE16" s="5">
        <v>53441</v>
      </c>
      <c r="AF16" s="5">
        <f t="shared" si="9"/>
        <v>1571.7941176470588</v>
      </c>
      <c r="AG16" s="5">
        <v>126.27</v>
      </c>
      <c r="AH16" s="49">
        <f t="shared" si="10"/>
        <v>1.6836</v>
      </c>
      <c r="AI16" s="5">
        <v>0</v>
      </c>
      <c r="AJ16" s="5">
        <v>2</v>
      </c>
      <c r="AK16" s="4">
        <v>14</v>
      </c>
      <c r="AL16" s="7">
        <v>12</v>
      </c>
      <c r="AM16" s="4">
        <v>1</v>
      </c>
      <c r="AN16" s="4">
        <v>1</v>
      </c>
      <c r="AO16" s="11">
        <f t="shared" si="11"/>
        <v>78.571428571428569</v>
      </c>
      <c r="AP16" s="50">
        <f t="shared" si="12"/>
        <v>0.13333333333333333</v>
      </c>
      <c r="AQ16" s="7">
        <v>4</v>
      </c>
      <c r="AR16" s="50">
        <f t="shared" si="13"/>
        <v>3.8095238095238099E-2</v>
      </c>
      <c r="AS16" s="4">
        <v>0</v>
      </c>
    </row>
    <row r="17" spans="1:45" ht="18" customHeight="1" x14ac:dyDescent="0.3">
      <c r="A17" s="4" t="s">
        <v>34</v>
      </c>
      <c r="B17" s="4" t="s">
        <v>82</v>
      </c>
      <c r="C17" s="4" t="s">
        <v>83</v>
      </c>
      <c r="D17" s="4" t="s">
        <v>84</v>
      </c>
      <c r="E17" s="4" t="s">
        <v>85</v>
      </c>
      <c r="F17" s="7" t="s">
        <v>48</v>
      </c>
      <c r="G17" s="4" t="s">
        <v>65</v>
      </c>
      <c r="H17" s="5">
        <v>64</v>
      </c>
      <c r="I17" s="5">
        <v>27</v>
      </c>
      <c r="J17" s="6">
        <f t="shared" si="0"/>
        <v>0.421875</v>
      </c>
      <c r="K17" s="5"/>
      <c r="L17" s="5"/>
      <c r="M17" s="5"/>
      <c r="N17" s="9">
        <v>0</v>
      </c>
      <c r="O17" s="46">
        <f t="shared" si="1"/>
        <v>0</v>
      </c>
      <c r="P17" s="5">
        <v>1</v>
      </c>
      <c r="Q17" s="46">
        <f t="shared" ref="Q17" si="92">IFERROR(P17/$I17,"")</f>
        <v>3.7037037037037035E-2</v>
      </c>
      <c r="R17" s="5">
        <v>13</v>
      </c>
      <c r="S17" s="46">
        <f t="shared" ref="S17" si="93">IFERROR(R17/$I17,"")</f>
        <v>0.48148148148148145</v>
      </c>
      <c r="T17" s="5">
        <v>0</v>
      </c>
      <c r="U17" s="46">
        <f t="shared" ref="U17" si="94">IFERROR(T17/$I17,"")</f>
        <v>0</v>
      </c>
      <c r="V17" s="5">
        <v>2</v>
      </c>
      <c r="W17" s="46">
        <f t="shared" ref="W17" si="95">IFERROR(V17/$I17,"")</f>
        <v>7.407407407407407E-2</v>
      </c>
      <c r="X17" s="5">
        <v>1</v>
      </c>
      <c r="Y17" s="46">
        <f t="shared" ref="Y17" si="96">IFERROR(X17/$I17,"")</f>
        <v>3.7037037037037035E-2</v>
      </c>
      <c r="Z17" s="5">
        <v>0</v>
      </c>
      <c r="AA17" s="46">
        <f t="shared" ref="AA17" si="97">IFERROR(Z17/$I17,"")</f>
        <v>0</v>
      </c>
      <c r="AB17" s="5">
        <v>9</v>
      </c>
      <c r="AC17" s="46">
        <f t="shared" si="8"/>
        <v>0.140625</v>
      </c>
      <c r="AD17" s="5">
        <v>10</v>
      </c>
      <c r="AE17" s="5">
        <v>11140</v>
      </c>
      <c r="AF17" s="5">
        <f t="shared" si="9"/>
        <v>1237.7777777777778</v>
      </c>
      <c r="AG17" s="5">
        <v>0</v>
      </c>
      <c r="AH17" s="49">
        <f t="shared" si="10"/>
        <v>0</v>
      </c>
      <c r="AI17" s="5">
        <v>0</v>
      </c>
      <c r="AJ17" s="5">
        <v>2</v>
      </c>
      <c r="AK17" s="4">
        <v>7</v>
      </c>
      <c r="AL17" s="7">
        <v>6</v>
      </c>
      <c r="AM17" s="4">
        <v>0</v>
      </c>
      <c r="AN17" s="4">
        <v>1</v>
      </c>
      <c r="AO17" s="11">
        <f t="shared" si="11"/>
        <v>71.428571428571431</v>
      </c>
      <c r="AP17" s="50">
        <f t="shared" si="12"/>
        <v>0.109375</v>
      </c>
      <c r="AQ17" s="7">
        <v>2</v>
      </c>
      <c r="AR17" s="50">
        <f t="shared" si="13"/>
        <v>3.125E-2</v>
      </c>
      <c r="AS17" s="4">
        <v>0</v>
      </c>
    </row>
    <row r="18" spans="1:45" ht="18" customHeight="1" x14ac:dyDescent="0.3">
      <c r="A18" s="4" t="s">
        <v>34</v>
      </c>
      <c r="B18" s="4" t="s">
        <v>82</v>
      </c>
      <c r="C18" s="4" t="s">
        <v>83</v>
      </c>
      <c r="D18" s="4" t="s">
        <v>86</v>
      </c>
      <c r="E18" s="4" t="s">
        <v>87</v>
      </c>
      <c r="F18" s="7" t="s">
        <v>48</v>
      </c>
      <c r="G18" s="4" t="s">
        <v>88</v>
      </c>
      <c r="H18" s="5">
        <v>300</v>
      </c>
      <c r="I18" s="5">
        <v>101</v>
      </c>
      <c r="J18" s="6">
        <f t="shared" si="0"/>
        <v>0.33666666666666667</v>
      </c>
      <c r="K18" s="5"/>
      <c r="L18" s="5"/>
      <c r="M18" s="5"/>
      <c r="N18" s="9">
        <v>4</v>
      </c>
      <c r="O18" s="46">
        <f t="shared" si="1"/>
        <v>3.9603960396039604E-2</v>
      </c>
      <c r="P18" s="5">
        <v>1</v>
      </c>
      <c r="Q18" s="46">
        <f t="shared" ref="Q18" si="98">IFERROR(P18/$I18,"")</f>
        <v>9.9009900990099011E-3</v>
      </c>
      <c r="R18" s="5">
        <v>41</v>
      </c>
      <c r="S18" s="46">
        <f t="shared" ref="S18" si="99">IFERROR(R18/$I18,"")</f>
        <v>0.40594059405940597</v>
      </c>
      <c r="T18" s="5">
        <v>0</v>
      </c>
      <c r="U18" s="46">
        <f t="shared" ref="U18" si="100">IFERROR(T18/$I18,"")</f>
        <v>0</v>
      </c>
      <c r="V18" s="5">
        <v>3</v>
      </c>
      <c r="W18" s="46">
        <f t="shared" ref="W18" si="101">IFERROR(V18/$I18,"")</f>
        <v>2.9702970297029702E-2</v>
      </c>
      <c r="X18" s="5">
        <v>12</v>
      </c>
      <c r="Y18" s="46">
        <f t="shared" ref="Y18" si="102">IFERROR(X18/$I18,"")</f>
        <v>0.11881188118811881</v>
      </c>
      <c r="Z18" s="5">
        <v>4</v>
      </c>
      <c r="AA18" s="46">
        <f t="shared" ref="AA18" si="103">IFERROR(Z18/$I18,"")</f>
        <v>3.9603960396039604E-2</v>
      </c>
      <c r="AB18" s="5">
        <v>24</v>
      </c>
      <c r="AC18" s="46">
        <f t="shared" si="8"/>
        <v>0.08</v>
      </c>
      <c r="AD18" s="5">
        <v>28</v>
      </c>
      <c r="AE18" s="5">
        <v>45508</v>
      </c>
      <c r="AF18" s="5">
        <f t="shared" si="9"/>
        <v>1896.1666666666667</v>
      </c>
      <c r="AG18" s="5">
        <v>0</v>
      </c>
      <c r="AH18" s="49">
        <f t="shared" si="10"/>
        <v>0</v>
      </c>
      <c r="AI18" s="5">
        <v>3170</v>
      </c>
      <c r="AJ18" s="5">
        <v>10</v>
      </c>
      <c r="AK18" s="4">
        <v>14</v>
      </c>
      <c r="AL18" s="7">
        <v>12</v>
      </c>
      <c r="AM18" s="4">
        <v>0</v>
      </c>
      <c r="AN18" s="4">
        <v>2</v>
      </c>
      <c r="AO18" s="11">
        <f t="shared" si="11"/>
        <v>71.428571428571431</v>
      </c>
      <c r="AP18" s="50">
        <f t="shared" si="12"/>
        <v>4.6666666666666669E-2</v>
      </c>
      <c r="AQ18" s="7">
        <v>4</v>
      </c>
      <c r="AR18" s="50">
        <f t="shared" si="13"/>
        <v>1.3333333333333334E-2</v>
      </c>
      <c r="AS18" s="4">
        <v>0</v>
      </c>
    </row>
    <row r="19" spans="1:45" ht="18" customHeight="1" x14ac:dyDescent="0.3">
      <c r="A19" s="4" t="s">
        <v>34</v>
      </c>
      <c r="B19" s="4" t="s">
        <v>89</v>
      </c>
      <c r="C19" s="4" t="s">
        <v>83</v>
      </c>
      <c r="D19" s="4" t="s">
        <v>90</v>
      </c>
      <c r="E19" s="4" t="s">
        <v>91</v>
      </c>
      <c r="F19" s="7" t="s">
        <v>48</v>
      </c>
      <c r="G19" s="4" t="s">
        <v>54</v>
      </c>
      <c r="H19" s="5">
        <v>115</v>
      </c>
      <c r="I19" s="5">
        <v>50</v>
      </c>
      <c r="J19" s="6">
        <f t="shared" si="0"/>
        <v>0.43478260869565216</v>
      </c>
      <c r="K19" s="5"/>
      <c r="L19" s="5"/>
      <c r="M19" s="5"/>
      <c r="N19" s="9">
        <v>17</v>
      </c>
      <c r="O19" s="46">
        <f t="shared" si="1"/>
        <v>0.34</v>
      </c>
      <c r="P19" s="5">
        <v>9</v>
      </c>
      <c r="Q19" s="46">
        <f t="shared" ref="Q19" si="104">IFERROR(P19/$I19,"")</f>
        <v>0.18</v>
      </c>
      <c r="R19" s="5">
        <v>29</v>
      </c>
      <c r="S19" s="46">
        <f t="shared" ref="S19" si="105">IFERROR(R19/$I19,"")</f>
        <v>0.57999999999999996</v>
      </c>
      <c r="T19" s="5">
        <v>4</v>
      </c>
      <c r="U19" s="46">
        <f t="shared" ref="U19" si="106">IFERROR(T19/$I19,"")</f>
        <v>0.08</v>
      </c>
      <c r="V19" s="5">
        <v>17</v>
      </c>
      <c r="W19" s="46">
        <f t="shared" ref="W19" si="107">IFERROR(V19/$I19,"")</f>
        <v>0.34</v>
      </c>
      <c r="X19" s="5">
        <v>18</v>
      </c>
      <c r="Y19" s="46">
        <f t="shared" ref="Y19" si="108">IFERROR(X19/$I19,"")</f>
        <v>0.36</v>
      </c>
      <c r="Z19" s="5">
        <v>15</v>
      </c>
      <c r="AA19" s="46">
        <f t="shared" ref="AA19" si="109">IFERROR(Z19/$I19,"")</f>
        <v>0.3</v>
      </c>
      <c r="AB19" s="5">
        <v>40</v>
      </c>
      <c r="AC19" s="46">
        <f t="shared" si="8"/>
        <v>0.34782608695652173</v>
      </c>
      <c r="AD19" s="5">
        <v>46</v>
      </c>
      <c r="AE19" s="5">
        <v>67427</v>
      </c>
      <c r="AF19" s="5">
        <f t="shared" si="9"/>
        <v>1685.675</v>
      </c>
      <c r="AG19" s="5">
        <v>0</v>
      </c>
      <c r="AH19" s="49">
        <f t="shared" si="10"/>
        <v>0</v>
      </c>
      <c r="AI19" s="5">
        <v>0</v>
      </c>
      <c r="AJ19" s="5">
        <v>28</v>
      </c>
      <c r="AK19" s="4">
        <v>11</v>
      </c>
      <c r="AL19" s="7">
        <v>11</v>
      </c>
      <c r="AM19" s="4">
        <v>0</v>
      </c>
      <c r="AN19" s="4">
        <v>0</v>
      </c>
      <c r="AO19" s="11">
        <f t="shared" si="11"/>
        <v>100</v>
      </c>
      <c r="AP19" s="50">
        <f t="shared" si="12"/>
        <v>9.5652173913043481E-2</v>
      </c>
      <c r="AQ19" s="7">
        <v>2</v>
      </c>
      <c r="AR19" s="50">
        <f t="shared" si="13"/>
        <v>1.7391304347826087E-2</v>
      </c>
      <c r="AS19" s="4">
        <v>0</v>
      </c>
    </row>
    <row r="20" spans="1:45" ht="18" customHeight="1" x14ac:dyDescent="0.3">
      <c r="A20" s="4" t="s">
        <v>34</v>
      </c>
      <c r="B20" s="4" t="s">
        <v>89</v>
      </c>
      <c r="C20" s="4" t="s">
        <v>83</v>
      </c>
      <c r="D20" s="4" t="s">
        <v>92</v>
      </c>
      <c r="E20" s="4" t="s">
        <v>93</v>
      </c>
      <c r="F20" s="7" t="s">
        <v>48</v>
      </c>
      <c r="G20" s="4" t="s">
        <v>49</v>
      </c>
      <c r="H20" s="5">
        <v>175</v>
      </c>
      <c r="I20" s="5">
        <v>92</v>
      </c>
      <c r="J20" s="6">
        <f t="shared" si="0"/>
        <v>0.52571428571428569</v>
      </c>
      <c r="K20" s="5"/>
      <c r="L20" s="5"/>
      <c r="M20" s="5"/>
      <c r="N20" s="9">
        <v>30</v>
      </c>
      <c r="O20" s="46">
        <f t="shared" si="1"/>
        <v>0.32608695652173914</v>
      </c>
      <c r="P20" s="5">
        <v>8</v>
      </c>
      <c r="Q20" s="46">
        <f t="shared" ref="Q20" si="110">IFERROR(P20/$I20,"")</f>
        <v>8.6956521739130432E-2</v>
      </c>
      <c r="R20" s="5">
        <v>58</v>
      </c>
      <c r="S20" s="46">
        <f t="shared" ref="S20" si="111">IFERROR(R20/$I20,"")</f>
        <v>0.63043478260869568</v>
      </c>
      <c r="T20" s="5">
        <v>9</v>
      </c>
      <c r="U20" s="46">
        <f t="shared" ref="U20" si="112">IFERROR(T20/$I20,"")</f>
        <v>9.7826086956521743E-2</v>
      </c>
      <c r="V20" s="5">
        <v>19</v>
      </c>
      <c r="W20" s="46">
        <f t="shared" ref="W20" si="113">IFERROR(V20/$I20,"")</f>
        <v>0.20652173913043478</v>
      </c>
      <c r="X20" s="5">
        <v>39</v>
      </c>
      <c r="Y20" s="46">
        <f t="shared" ref="Y20" si="114">IFERROR(X20/$I20,"")</f>
        <v>0.42391304347826086</v>
      </c>
      <c r="Z20" s="5">
        <v>4</v>
      </c>
      <c r="AA20" s="46">
        <f t="shared" ref="AA20" si="115">IFERROR(Z20/$I20,"")</f>
        <v>4.3478260869565216E-2</v>
      </c>
      <c r="AB20" s="5">
        <v>40</v>
      </c>
      <c r="AC20" s="46">
        <f t="shared" si="8"/>
        <v>0.22857142857142856</v>
      </c>
      <c r="AD20" s="5">
        <v>65</v>
      </c>
      <c r="AE20" s="5">
        <v>67427</v>
      </c>
      <c r="AF20" s="5">
        <f t="shared" si="9"/>
        <v>1685.675</v>
      </c>
      <c r="AG20" s="5">
        <v>1099.99</v>
      </c>
      <c r="AH20" s="49">
        <f t="shared" si="10"/>
        <v>11.956413043478261</v>
      </c>
      <c r="AI20" s="5">
        <v>0</v>
      </c>
      <c r="AJ20" s="5">
        <v>20</v>
      </c>
      <c r="AK20" s="4">
        <v>20</v>
      </c>
      <c r="AL20" s="7">
        <v>20</v>
      </c>
      <c r="AM20" s="4">
        <v>0</v>
      </c>
      <c r="AN20" s="4">
        <v>0</v>
      </c>
      <c r="AO20" s="11">
        <f t="shared" si="11"/>
        <v>100</v>
      </c>
      <c r="AP20" s="50">
        <f t="shared" si="12"/>
        <v>0.11428571428571428</v>
      </c>
      <c r="AQ20" s="7">
        <v>3</v>
      </c>
      <c r="AR20" s="50">
        <f t="shared" si="13"/>
        <v>1.7142857142857144E-2</v>
      </c>
      <c r="AS20" s="4">
        <v>0</v>
      </c>
    </row>
    <row r="21" spans="1:45" ht="18" customHeight="1" x14ac:dyDescent="0.3">
      <c r="A21" s="4" t="s">
        <v>34</v>
      </c>
      <c r="B21" s="4" t="s">
        <v>89</v>
      </c>
      <c r="C21" s="4" t="s">
        <v>83</v>
      </c>
      <c r="D21" s="4" t="s">
        <v>94</v>
      </c>
      <c r="E21" s="4" t="s">
        <v>95</v>
      </c>
      <c r="F21" s="7" t="s">
        <v>48</v>
      </c>
      <c r="G21" s="4" t="s">
        <v>81</v>
      </c>
      <c r="H21" s="5">
        <v>180</v>
      </c>
      <c r="I21" s="5">
        <v>98</v>
      </c>
      <c r="J21" s="6">
        <f t="shared" si="0"/>
        <v>0.5444444444444444</v>
      </c>
      <c r="K21" s="5"/>
      <c r="L21" s="5"/>
      <c r="M21" s="5"/>
      <c r="N21" s="9">
        <v>6</v>
      </c>
      <c r="O21" s="46">
        <f t="shared" si="1"/>
        <v>6.1224489795918366E-2</v>
      </c>
      <c r="P21" s="5">
        <v>7</v>
      </c>
      <c r="Q21" s="46">
        <f t="shared" ref="Q21" si="116">IFERROR(P21/$I21,"")</f>
        <v>7.1428571428571425E-2</v>
      </c>
      <c r="R21" s="5">
        <v>39</v>
      </c>
      <c r="S21" s="46">
        <f t="shared" ref="S21" si="117">IFERROR(R21/$I21,"")</f>
        <v>0.39795918367346939</v>
      </c>
      <c r="T21" s="5">
        <v>10</v>
      </c>
      <c r="U21" s="46">
        <f t="shared" ref="U21" si="118">IFERROR(T21/$I21,"")</f>
        <v>0.10204081632653061</v>
      </c>
      <c r="V21" s="5">
        <v>24</v>
      </c>
      <c r="W21" s="46">
        <f t="shared" ref="W21" si="119">IFERROR(V21/$I21,"")</f>
        <v>0.24489795918367346</v>
      </c>
      <c r="X21" s="5">
        <v>19</v>
      </c>
      <c r="Y21" s="46">
        <f t="shared" ref="Y21" si="120">IFERROR(X21/$I21,"")</f>
        <v>0.19387755102040816</v>
      </c>
      <c r="Z21" s="5">
        <v>11</v>
      </c>
      <c r="AA21" s="46">
        <f t="shared" ref="AA21" si="121">IFERROR(Z21/$I21,"")</f>
        <v>0.11224489795918367</v>
      </c>
      <c r="AB21" s="5">
        <v>60</v>
      </c>
      <c r="AC21" s="46">
        <f t="shared" si="8"/>
        <v>0.33333333333333331</v>
      </c>
      <c r="AD21" s="5">
        <v>65</v>
      </c>
      <c r="AE21" s="5">
        <v>96667</v>
      </c>
      <c r="AF21" s="5">
        <f t="shared" si="9"/>
        <v>1611.1166666666666</v>
      </c>
      <c r="AG21" s="5">
        <v>253.38</v>
      </c>
      <c r="AH21" s="49">
        <f t="shared" si="10"/>
        <v>2.5855102040816327</v>
      </c>
      <c r="AI21" s="5">
        <v>11052</v>
      </c>
      <c r="AJ21" s="5">
        <v>18</v>
      </c>
      <c r="AK21" s="4">
        <v>26</v>
      </c>
      <c r="AL21" s="7">
        <v>24</v>
      </c>
      <c r="AM21" s="4">
        <v>2</v>
      </c>
      <c r="AN21" s="4">
        <v>0</v>
      </c>
      <c r="AO21" s="11">
        <f t="shared" si="11"/>
        <v>92.307692307692307</v>
      </c>
      <c r="AP21" s="50">
        <f t="shared" si="12"/>
        <v>0.14444444444444443</v>
      </c>
      <c r="AQ21" s="7">
        <v>2</v>
      </c>
      <c r="AR21" s="50">
        <f t="shared" si="13"/>
        <v>1.1111111111111112E-2</v>
      </c>
      <c r="AS21" s="4">
        <v>0</v>
      </c>
    </row>
    <row r="22" spans="1:45" ht="18" customHeight="1" x14ac:dyDescent="0.3">
      <c r="A22" s="4" t="s">
        <v>34</v>
      </c>
      <c r="B22" s="4" t="s">
        <v>89</v>
      </c>
      <c r="C22" s="4" t="s">
        <v>83</v>
      </c>
      <c r="D22" s="4" t="s">
        <v>96</v>
      </c>
      <c r="E22" s="4" t="s">
        <v>97</v>
      </c>
      <c r="F22" s="7" t="s">
        <v>48</v>
      </c>
      <c r="G22" s="4" t="s">
        <v>65</v>
      </c>
      <c r="H22" s="5">
        <v>162</v>
      </c>
      <c r="I22" s="5">
        <v>97</v>
      </c>
      <c r="J22" s="6">
        <f t="shared" si="0"/>
        <v>0.59876543209876543</v>
      </c>
      <c r="K22" s="5"/>
      <c r="L22" s="5"/>
      <c r="M22" s="5"/>
      <c r="N22" s="9">
        <v>30</v>
      </c>
      <c r="O22" s="46">
        <f t="shared" si="1"/>
        <v>0.30927835051546393</v>
      </c>
      <c r="P22" s="5">
        <v>14</v>
      </c>
      <c r="Q22" s="46">
        <f t="shared" ref="Q22" si="122">IFERROR(P22/$I22,"")</f>
        <v>0.14432989690721648</v>
      </c>
      <c r="R22" s="5">
        <v>59</v>
      </c>
      <c r="S22" s="46">
        <f t="shared" ref="S22" si="123">IFERROR(R22/$I22,"")</f>
        <v>0.60824742268041232</v>
      </c>
      <c r="T22" s="5">
        <v>6</v>
      </c>
      <c r="U22" s="46">
        <f t="shared" ref="U22" si="124">IFERROR(T22/$I22,"")</f>
        <v>6.1855670103092786E-2</v>
      </c>
      <c r="V22" s="5">
        <v>29</v>
      </c>
      <c r="W22" s="46">
        <f t="shared" ref="W22" si="125">IFERROR(V22/$I22,"")</f>
        <v>0.29896907216494845</v>
      </c>
      <c r="X22" s="5">
        <v>18</v>
      </c>
      <c r="Y22" s="46">
        <f t="shared" ref="Y22" si="126">IFERROR(X22/$I22,"")</f>
        <v>0.18556701030927836</v>
      </c>
      <c r="Z22" s="5">
        <v>20</v>
      </c>
      <c r="AA22" s="46">
        <f t="shared" ref="AA22" si="127">IFERROR(Z22/$I22,"")</f>
        <v>0.20618556701030927</v>
      </c>
      <c r="AB22" s="5">
        <v>0</v>
      </c>
      <c r="AC22" s="46">
        <f t="shared" si="8"/>
        <v>0</v>
      </c>
      <c r="AD22" s="5">
        <v>69</v>
      </c>
      <c r="AE22" s="5">
        <v>0</v>
      </c>
      <c r="AF22" s="5" t="str">
        <f t="shared" si="9"/>
        <v/>
      </c>
      <c r="AG22" s="5">
        <v>2940.9500000000003</v>
      </c>
      <c r="AH22" s="49">
        <f t="shared" si="10"/>
        <v>30.319072164948455</v>
      </c>
      <c r="AI22" s="5">
        <v>0</v>
      </c>
      <c r="AJ22" s="5">
        <v>20</v>
      </c>
      <c r="AK22" s="4">
        <v>28</v>
      </c>
      <c r="AL22" s="7">
        <v>24</v>
      </c>
      <c r="AM22" s="4">
        <v>1</v>
      </c>
      <c r="AN22" s="4">
        <v>3</v>
      </c>
      <c r="AO22" s="11">
        <f t="shared" si="11"/>
        <v>75</v>
      </c>
      <c r="AP22" s="50">
        <f t="shared" si="12"/>
        <v>0.1728395061728395</v>
      </c>
      <c r="AQ22" s="7">
        <v>4</v>
      </c>
      <c r="AR22" s="50">
        <f t="shared" si="13"/>
        <v>2.4691358024691357E-2</v>
      </c>
      <c r="AS22" s="4">
        <v>0</v>
      </c>
    </row>
    <row r="23" spans="1:45" ht="18" customHeight="1" x14ac:dyDescent="0.3">
      <c r="A23" s="4" t="s">
        <v>34</v>
      </c>
      <c r="B23" s="4" t="s">
        <v>98</v>
      </c>
      <c r="C23" s="4" t="s">
        <v>47</v>
      </c>
      <c r="D23" s="4" t="s">
        <v>99</v>
      </c>
      <c r="E23" s="4" t="s">
        <v>100</v>
      </c>
      <c r="F23" s="7" t="s">
        <v>48</v>
      </c>
      <c r="G23" s="4" t="s">
        <v>54</v>
      </c>
      <c r="H23" s="5">
        <v>138</v>
      </c>
      <c r="I23" s="5">
        <v>110</v>
      </c>
      <c r="J23" s="6">
        <f t="shared" si="0"/>
        <v>0.79710144927536231</v>
      </c>
      <c r="K23" s="5"/>
      <c r="L23" s="5"/>
      <c r="M23" s="5"/>
      <c r="N23" s="9">
        <v>4</v>
      </c>
      <c r="O23" s="46">
        <f t="shared" si="1"/>
        <v>3.6363636363636362E-2</v>
      </c>
      <c r="P23" s="5">
        <v>10</v>
      </c>
      <c r="Q23" s="46">
        <f t="shared" ref="Q23" si="128">IFERROR(P23/$I23,"")</f>
        <v>9.0909090909090912E-2</v>
      </c>
      <c r="R23" s="5">
        <v>44</v>
      </c>
      <c r="S23" s="46">
        <f t="shared" ref="S23" si="129">IFERROR(R23/$I23,"")</f>
        <v>0.4</v>
      </c>
      <c r="T23" s="5">
        <v>8</v>
      </c>
      <c r="U23" s="46">
        <f t="shared" ref="U23" si="130">IFERROR(T23/$I23,"")</f>
        <v>7.2727272727272724E-2</v>
      </c>
      <c r="V23" s="5">
        <v>31</v>
      </c>
      <c r="W23" s="46">
        <f t="shared" ref="W23" si="131">IFERROR(V23/$I23,"")</f>
        <v>0.2818181818181818</v>
      </c>
      <c r="X23" s="5">
        <v>27</v>
      </c>
      <c r="Y23" s="46">
        <f t="shared" ref="Y23" si="132">IFERROR(X23/$I23,"")</f>
        <v>0.24545454545454545</v>
      </c>
      <c r="Z23" s="5">
        <v>5</v>
      </c>
      <c r="AA23" s="46">
        <f t="shared" ref="AA23" si="133">IFERROR(Z23/$I23,"")</f>
        <v>4.5454545454545456E-2</v>
      </c>
      <c r="AB23" s="5">
        <v>82</v>
      </c>
      <c r="AC23" s="46">
        <f t="shared" si="8"/>
        <v>0.59420289855072461</v>
      </c>
      <c r="AD23" s="5">
        <v>106</v>
      </c>
      <c r="AE23" s="5">
        <v>155894.47</v>
      </c>
      <c r="AF23" s="5">
        <f t="shared" si="9"/>
        <v>1901.1520731707317</v>
      </c>
      <c r="AG23" s="5">
        <v>4680.6600000000008</v>
      </c>
      <c r="AH23" s="49">
        <f t="shared" si="10"/>
        <v>42.551454545454554</v>
      </c>
      <c r="AI23" s="5">
        <v>21616</v>
      </c>
      <c r="AJ23" s="5">
        <v>12</v>
      </c>
      <c r="AK23" s="4">
        <v>35</v>
      </c>
      <c r="AL23" s="7">
        <v>35</v>
      </c>
      <c r="AM23" s="4">
        <v>0</v>
      </c>
      <c r="AN23" s="4">
        <v>0</v>
      </c>
      <c r="AO23" s="11">
        <f t="shared" si="11"/>
        <v>100</v>
      </c>
      <c r="AP23" s="50">
        <f t="shared" si="12"/>
        <v>0.25362318840579712</v>
      </c>
      <c r="AQ23" s="7">
        <v>6</v>
      </c>
      <c r="AR23" s="50">
        <f t="shared" si="13"/>
        <v>4.3478260869565216E-2</v>
      </c>
      <c r="AS23" s="4">
        <v>0</v>
      </c>
    </row>
    <row r="24" spans="1:45" ht="18" customHeight="1" x14ac:dyDescent="0.3">
      <c r="A24" s="4" t="s">
        <v>34</v>
      </c>
      <c r="B24" s="4" t="s">
        <v>98</v>
      </c>
      <c r="C24" s="4" t="s">
        <v>47</v>
      </c>
      <c r="D24" s="4" t="s">
        <v>101</v>
      </c>
      <c r="E24" s="4" t="s">
        <v>102</v>
      </c>
      <c r="F24" s="7" t="s">
        <v>48</v>
      </c>
      <c r="G24" s="4" t="s">
        <v>65</v>
      </c>
      <c r="H24" s="5">
        <v>125</v>
      </c>
      <c r="I24" s="5">
        <v>94</v>
      </c>
      <c r="J24" s="6">
        <f t="shared" si="0"/>
        <v>0.752</v>
      </c>
      <c r="K24" s="5"/>
      <c r="L24" s="5"/>
      <c r="M24" s="5"/>
      <c r="N24" s="9">
        <v>17</v>
      </c>
      <c r="O24" s="46">
        <f t="shared" si="1"/>
        <v>0.18085106382978725</v>
      </c>
      <c r="P24" s="5">
        <v>8</v>
      </c>
      <c r="Q24" s="46">
        <f t="shared" ref="Q24" si="134">IFERROR(P24/$I24,"")</f>
        <v>8.5106382978723402E-2</v>
      </c>
      <c r="R24" s="5">
        <v>32</v>
      </c>
      <c r="S24" s="46">
        <f t="shared" ref="S24" si="135">IFERROR(R24/$I24,"")</f>
        <v>0.34042553191489361</v>
      </c>
      <c r="T24" s="5">
        <v>7</v>
      </c>
      <c r="U24" s="46">
        <f t="shared" ref="U24" si="136">IFERROR(T24/$I24,"")</f>
        <v>7.4468085106382975E-2</v>
      </c>
      <c r="V24" s="5">
        <v>11</v>
      </c>
      <c r="W24" s="46">
        <f t="shared" ref="W24" si="137">IFERROR(V24/$I24,"")</f>
        <v>0.11702127659574468</v>
      </c>
      <c r="X24" s="5">
        <v>12</v>
      </c>
      <c r="Y24" s="46">
        <f t="shared" ref="Y24" si="138">IFERROR(X24/$I24,"")</f>
        <v>0.1276595744680851</v>
      </c>
      <c r="Z24" s="5">
        <v>13</v>
      </c>
      <c r="AA24" s="46">
        <f t="shared" ref="AA24" si="139">IFERROR(Z24/$I24,"")</f>
        <v>0.13829787234042554</v>
      </c>
      <c r="AB24" s="5">
        <v>75</v>
      </c>
      <c r="AC24" s="46">
        <f t="shared" si="8"/>
        <v>0.6</v>
      </c>
      <c r="AD24" s="5">
        <v>120</v>
      </c>
      <c r="AE24" s="5">
        <v>171707</v>
      </c>
      <c r="AF24" s="5">
        <f t="shared" si="9"/>
        <v>2289.4266666666667</v>
      </c>
      <c r="AG24" s="5">
        <v>3071.37</v>
      </c>
      <c r="AH24" s="49">
        <f t="shared" si="10"/>
        <v>32.674148936170212</v>
      </c>
      <c r="AI24" s="5">
        <v>51301.22</v>
      </c>
      <c r="AJ24" s="5">
        <v>11</v>
      </c>
      <c r="AK24" s="4">
        <v>21</v>
      </c>
      <c r="AL24" s="7">
        <v>19</v>
      </c>
      <c r="AM24" s="4">
        <v>0</v>
      </c>
      <c r="AN24" s="4">
        <v>2</v>
      </c>
      <c r="AO24" s="11">
        <f t="shared" si="11"/>
        <v>80.952380952380949</v>
      </c>
      <c r="AP24" s="50">
        <f t="shared" si="12"/>
        <v>0.16800000000000001</v>
      </c>
      <c r="AQ24" s="7">
        <v>3</v>
      </c>
      <c r="AR24" s="50">
        <f t="shared" si="13"/>
        <v>2.4E-2</v>
      </c>
      <c r="AS24" s="4">
        <v>0</v>
      </c>
    </row>
    <row r="25" spans="1:45" ht="18" customHeight="1" x14ac:dyDescent="0.3">
      <c r="A25" s="4" t="s">
        <v>34</v>
      </c>
      <c r="B25" s="4" t="s">
        <v>98</v>
      </c>
      <c r="C25" s="4" t="s">
        <v>47</v>
      </c>
      <c r="D25" s="4" t="s">
        <v>103</v>
      </c>
      <c r="E25" s="4" t="s">
        <v>104</v>
      </c>
      <c r="F25" s="7" t="s">
        <v>48</v>
      </c>
      <c r="G25" s="4" t="s">
        <v>65</v>
      </c>
      <c r="H25" s="5">
        <v>124</v>
      </c>
      <c r="I25" s="5">
        <v>103</v>
      </c>
      <c r="J25" s="6">
        <f t="shared" si="0"/>
        <v>0.83064516129032262</v>
      </c>
      <c r="K25" s="5"/>
      <c r="L25" s="5"/>
      <c r="M25" s="5"/>
      <c r="N25" s="9">
        <v>8</v>
      </c>
      <c r="O25" s="46">
        <f t="shared" si="1"/>
        <v>7.7669902912621352E-2</v>
      </c>
      <c r="P25" s="5">
        <v>7</v>
      </c>
      <c r="Q25" s="46">
        <f t="shared" ref="Q25" si="140">IFERROR(P25/$I25,"")</f>
        <v>6.7961165048543687E-2</v>
      </c>
      <c r="R25" s="5">
        <v>44</v>
      </c>
      <c r="S25" s="46">
        <f t="shared" ref="S25" si="141">IFERROR(R25/$I25,"")</f>
        <v>0.42718446601941745</v>
      </c>
      <c r="T25" s="5">
        <v>4</v>
      </c>
      <c r="U25" s="46">
        <f t="shared" ref="U25" si="142">IFERROR(T25/$I25,"")</f>
        <v>3.8834951456310676E-2</v>
      </c>
      <c r="V25" s="5">
        <v>12</v>
      </c>
      <c r="W25" s="46">
        <f t="shared" ref="W25" si="143">IFERROR(V25/$I25,"")</f>
        <v>0.11650485436893204</v>
      </c>
      <c r="X25" s="5">
        <v>24</v>
      </c>
      <c r="Y25" s="46">
        <f t="shared" ref="Y25" si="144">IFERROR(X25/$I25,"")</f>
        <v>0.23300970873786409</v>
      </c>
      <c r="Z25" s="5">
        <v>16</v>
      </c>
      <c r="AA25" s="46">
        <f t="shared" ref="AA25" si="145">IFERROR(Z25/$I25,"")</f>
        <v>0.1553398058252427</v>
      </c>
      <c r="AB25" s="5">
        <v>72</v>
      </c>
      <c r="AC25" s="46">
        <f t="shared" si="8"/>
        <v>0.58064516129032262</v>
      </c>
      <c r="AD25" s="5">
        <v>97</v>
      </c>
      <c r="AE25" s="5">
        <v>174270</v>
      </c>
      <c r="AF25" s="5">
        <f t="shared" si="9"/>
        <v>2420.4166666666665</v>
      </c>
      <c r="AG25" s="5">
        <v>1005.65</v>
      </c>
      <c r="AH25" s="49">
        <f t="shared" si="10"/>
        <v>9.7635922330097085</v>
      </c>
      <c r="AI25" s="5">
        <v>10683</v>
      </c>
      <c r="AJ25" s="5">
        <v>7</v>
      </c>
      <c r="AK25" s="4">
        <v>12</v>
      </c>
      <c r="AL25" s="7">
        <v>11</v>
      </c>
      <c r="AM25" s="4">
        <v>1</v>
      </c>
      <c r="AN25" s="4">
        <v>0</v>
      </c>
      <c r="AO25" s="11">
        <f t="shared" si="11"/>
        <v>91.666666666666657</v>
      </c>
      <c r="AP25" s="50">
        <f t="shared" si="12"/>
        <v>9.6774193548387094E-2</v>
      </c>
      <c r="AQ25" s="7">
        <v>1</v>
      </c>
      <c r="AR25" s="50">
        <f t="shared" si="13"/>
        <v>8.0645161290322578E-3</v>
      </c>
      <c r="AS25" s="4">
        <v>0</v>
      </c>
    </row>
    <row r="26" spans="1:45" ht="18" customHeight="1" x14ac:dyDescent="0.3">
      <c r="A26" s="4" t="s">
        <v>34</v>
      </c>
      <c r="B26" s="4" t="s">
        <v>98</v>
      </c>
      <c r="C26" s="4" t="s">
        <v>47</v>
      </c>
      <c r="D26" s="4" t="s">
        <v>105</v>
      </c>
      <c r="E26" s="4" t="s">
        <v>106</v>
      </c>
      <c r="F26" s="7" t="s">
        <v>48</v>
      </c>
      <c r="G26" s="4" t="s">
        <v>72</v>
      </c>
      <c r="H26" s="5">
        <v>144</v>
      </c>
      <c r="I26" s="5">
        <v>125</v>
      </c>
      <c r="J26" s="6">
        <f t="shared" si="0"/>
        <v>0.86805555555555558</v>
      </c>
      <c r="K26" s="5"/>
      <c r="L26" s="5"/>
      <c r="M26" s="5"/>
      <c r="N26" s="9">
        <v>20</v>
      </c>
      <c r="O26" s="46">
        <f t="shared" si="1"/>
        <v>0.16</v>
      </c>
      <c r="P26" s="5">
        <v>6</v>
      </c>
      <c r="Q26" s="46">
        <f t="shared" ref="Q26" si="146">IFERROR(P26/$I26,"")</f>
        <v>4.8000000000000001E-2</v>
      </c>
      <c r="R26" s="5">
        <v>63</v>
      </c>
      <c r="S26" s="46">
        <f t="shared" ref="S26" si="147">IFERROR(R26/$I26,"")</f>
        <v>0.504</v>
      </c>
      <c r="T26" s="5">
        <v>0</v>
      </c>
      <c r="U26" s="46">
        <f t="shared" ref="U26" si="148">IFERROR(T26/$I26,"")</f>
        <v>0</v>
      </c>
      <c r="V26" s="5">
        <v>31</v>
      </c>
      <c r="W26" s="46">
        <f t="shared" ref="W26" si="149">IFERROR(V26/$I26,"")</f>
        <v>0.248</v>
      </c>
      <c r="X26" s="5">
        <v>25</v>
      </c>
      <c r="Y26" s="46">
        <f t="shared" ref="Y26" si="150">IFERROR(X26/$I26,"")</f>
        <v>0.2</v>
      </c>
      <c r="Z26" s="5">
        <v>12</v>
      </c>
      <c r="AA26" s="46">
        <f t="shared" ref="AA26" si="151">IFERROR(Z26/$I26,"")</f>
        <v>9.6000000000000002E-2</v>
      </c>
      <c r="AB26" s="5">
        <v>105</v>
      </c>
      <c r="AC26" s="46">
        <f t="shared" si="8"/>
        <v>0.72916666666666663</v>
      </c>
      <c r="AD26" s="5">
        <v>148</v>
      </c>
      <c r="AE26" s="5">
        <v>215500</v>
      </c>
      <c r="AF26" s="5">
        <f t="shared" si="9"/>
        <v>2052.3809523809523</v>
      </c>
      <c r="AG26" s="5">
        <v>4141.75</v>
      </c>
      <c r="AH26" s="49">
        <f t="shared" si="10"/>
        <v>33.134</v>
      </c>
      <c r="AI26" s="5">
        <v>40952</v>
      </c>
      <c r="AJ26" s="5">
        <v>9</v>
      </c>
      <c r="AK26" s="4">
        <v>31</v>
      </c>
      <c r="AL26" s="7">
        <v>27</v>
      </c>
      <c r="AM26" s="4">
        <v>1</v>
      </c>
      <c r="AN26" s="4">
        <v>3</v>
      </c>
      <c r="AO26" s="11">
        <f t="shared" si="11"/>
        <v>77.41935483870968</v>
      </c>
      <c r="AP26" s="50">
        <f t="shared" si="12"/>
        <v>0.21527777777777779</v>
      </c>
      <c r="AQ26" s="7">
        <v>5</v>
      </c>
      <c r="AR26" s="50">
        <f t="shared" si="13"/>
        <v>3.4722222222222224E-2</v>
      </c>
      <c r="AS26" s="4">
        <v>0</v>
      </c>
    </row>
    <row r="27" spans="1:45" ht="18" customHeight="1" x14ac:dyDescent="0.3">
      <c r="A27" s="4" t="s">
        <v>34</v>
      </c>
      <c r="B27" s="4" t="s">
        <v>98</v>
      </c>
      <c r="C27" s="4" t="s">
        <v>47</v>
      </c>
      <c r="D27" s="4" t="s">
        <v>107</v>
      </c>
      <c r="E27" s="4" t="s">
        <v>108</v>
      </c>
      <c r="F27" s="7" t="s">
        <v>48</v>
      </c>
      <c r="G27" s="4" t="s">
        <v>81</v>
      </c>
      <c r="H27" s="5">
        <v>116</v>
      </c>
      <c r="I27" s="5">
        <v>99</v>
      </c>
      <c r="J27" s="6">
        <f t="shared" si="0"/>
        <v>0.85344827586206895</v>
      </c>
      <c r="K27" s="5"/>
      <c r="L27" s="5"/>
      <c r="M27" s="5"/>
      <c r="N27" s="9">
        <v>3</v>
      </c>
      <c r="O27" s="46">
        <f t="shared" si="1"/>
        <v>3.0303030303030304E-2</v>
      </c>
      <c r="P27" s="5">
        <v>2</v>
      </c>
      <c r="Q27" s="46">
        <f t="shared" ref="Q27" si="152">IFERROR(P27/$I27,"")</f>
        <v>2.0202020202020204E-2</v>
      </c>
      <c r="R27" s="5">
        <v>50</v>
      </c>
      <c r="S27" s="46">
        <f t="shared" ref="S27" si="153">IFERROR(R27/$I27,"")</f>
        <v>0.50505050505050508</v>
      </c>
      <c r="T27" s="5">
        <v>1</v>
      </c>
      <c r="U27" s="46">
        <f t="shared" ref="U27" si="154">IFERROR(T27/$I27,"")</f>
        <v>1.0101010101010102E-2</v>
      </c>
      <c r="V27" s="5">
        <v>24</v>
      </c>
      <c r="W27" s="46">
        <f t="shared" ref="W27" si="155">IFERROR(V27/$I27,"")</f>
        <v>0.24242424242424243</v>
      </c>
      <c r="X27" s="5">
        <v>26</v>
      </c>
      <c r="Y27" s="46">
        <f t="shared" ref="Y27" si="156">IFERROR(X27/$I27,"")</f>
        <v>0.26262626262626265</v>
      </c>
      <c r="Z27" s="5">
        <v>14</v>
      </c>
      <c r="AA27" s="46">
        <f t="shared" ref="AA27" si="157">IFERROR(Z27/$I27,"")</f>
        <v>0.14141414141414141</v>
      </c>
      <c r="AB27" s="5">
        <v>80</v>
      </c>
      <c r="AC27" s="46">
        <f t="shared" si="8"/>
        <v>0.68965517241379315</v>
      </c>
      <c r="AD27" s="5">
        <v>131</v>
      </c>
      <c r="AE27" s="5">
        <v>196526.8</v>
      </c>
      <c r="AF27" s="5">
        <f t="shared" si="9"/>
        <v>2456.585</v>
      </c>
      <c r="AG27" s="5">
        <v>6675.0500000000011</v>
      </c>
      <c r="AH27" s="49">
        <f t="shared" si="10"/>
        <v>67.424747474747491</v>
      </c>
      <c r="AI27" s="5">
        <v>44584</v>
      </c>
      <c r="AJ27" s="5">
        <v>15</v>
      </c>
      <c r="AK27" s="4">
        <v>18</v>
      </c>
      <c r="AL27" s="7">
        <v>17</v>
      </c>
      <c r="AM27" s="4">
        <v>1</v>
      </c>
      <c r="AN27" s="4">
        <v>0</v>
      </c>
      <c r="AO27" s="11">
        <f t="shared" si="11"/>
        <v>94.444444444444443</v>
      </c>
      <c r="AP27" s="50">
        <f t="shared" si="12"/>
        <v>0.15517241379310345</v>
      </c>
      <c r="AQ27" s="7">
        <v>1</v>
      </c>
      <c r="AR27" s="50">
        <f t="shared" si="13"/>
        <v>8.6206896551724137E-3</v>
      </c>
      <c r="AS27" s="4">
        <v>0</v>
      </c>
    </row>
    <row r="28" spans="1:45" ht="18" customHeight="1" x14ac:dyDescent="0.3">
      <c r="A28" s="4" t="s">
        <v>34</v>
      </c>
      <c r="B28" s="4" t="s">
        <v>98</v>
      </c>
      <c r="C28" s="4" t="s">
        <v>47</v>
      </c>
      <c r="D28" s="4" t="s">
        <v>109</v>
      </c>
      <c r="E28" s="4" t="s">
        <v>110</v>
      </c>
      <c r="F28" s="7" t="s">
        <v>48</v>
      </c>
      <c r="G28" s="4" t="s">
        <v>88</v>
      </c>
      <c r="H28" s="5">
        <v>104</v>
      </c>
      <c r="I28" s="5">
        <v>87</v>
      </c>
      <c r="J28" s="6">
        <f t="shared" si="0"/>
        <v>0.83653846153846156</v>
      </c>
      <c r="K28" s="5"/>
      <c r="L28" s="5"/>
      <c r="M28" s="5"/>
      <c r="N28" s="9">
        <v>4</v>
      </c>
      <c r="O28" s="46">
        <f t="shared" si="1"/>
        <v>4.5977011494252873E-2</v>
      </c>
      <c r="P28" s="5">
        <v>5</v>
      </c>
      <c r="Q28" s="46">
        <f t="shared" ref="Q28" si="158">IFERROR(P28/$I28,"")</f>
        <v>5.7471264367816091E-2</v>
      </c>
      <c r="R28" s="5">
        <v>42</v>
      </c>
      <c r="S28" s="46">
        <f t="shared" ref="S28" si="159">IFERROR(R28/$I28,"")</f>
        <v>0.48275862068965519</v>
      </c>
      <c r="T28" s="5">
        <v>0</v>
      </c>
      <c r="U28" s="46">
        <f t="shared" ref="U28" si="160">IFERROR(T28/$I28,"")</f>
        <v>0</v>
      </c>
      <c r="V28" s="5">
        <v>12</v>
      </c>
      <c r="W28" s="46">
        <f t="shared" ref="W28" si="161">IFERROR(V28/$I28,"")</f>
        <v>0.13793103448275862</v>
      </c>
      <c r="X28" s="5">
        <v>16</v>
      </c>
      <c r="Y28" s="46">
        <f t="shared" ref="Y28" si="162">IFERROR(X28/$I28,"")</f>
        <v>0.18390804597701149</v>
      </c>
      <c r="Z28" s="5">
        <v>8</v>
      </c>
      <c r="AA28" s="46">
        <f t="shared" ref="AA28" si="163">IFERROR(Z28/$I28,"")</f>
        <v>9.1954022988505746E-2</v>
      </c>
      <c r="AB28" s="5">
        <v>57</v>
      </c>
      <c r="AC28" s="46">
        <f t="shared" si="8"/>
        <v>0.54807692307692313</v>
      </c>
      <c r="AD28" s="5">
        <v>95</v>
      </c>
      <c r="AE28" s="5">
        <v>177122</v>
      </c>
      <c r="AF28" s="5">
        <f t="shared" si="9"/>
        <v>3107.4035087719299</v>
      </c>
      <c r="AG28" s="5">
        <v>8703.07</v>
      </c>
      <c r="AH28" s="49">
        <f t="shared" si="10"/>
        <v>100.03528735632183</v>
      </c>
      <c r="AI28" s="5">
        <v>4707</v>
      </c>
      <c r="AJ28" s="5">
        <v>3</v>
      </c>
      <c r="AK28" s="4">
        <v>15</v>
      </c>
      <c r="AL28" s="7">
        <v>11</v>
      </c>
      <c r="AM28" s="4">
        <v>2</v>
      </c>
      <c r="AN28" s="4">
        <v>2</v>
      </c>
      <c r="AO28" s="11">
        <f t="shared" si="11"/>
        <v>60</v>
      </c>
      <c r="AP28" s="50">
        <f t="shared" si="12"/>
        <v>0.14423076923076922</v>
      </c>
      <c r="AQ28" s="7">
        <v>10</v>
      </c>
      <c r="AR28" s="50">
        <f t="shared" si="13"/>
        <v>9.6153846153846159E-2</v>
      </c>
      <c r="AS28" s="4">
        <v>0</v>
      </c>
    </row>
    <row r="29" spans="1:45" ht="18" customHeight="1" x14ac:dyDescent="0.3">
      <c r="A29" s="4" t="s">
        <v>34</v>
      </c>
      <c r="B29" s="4" t="s">
        <v>98</v>
      </c>
      <c r="C29" s="4" t="s">
        <v>47</v>
      </c>
      <c r="D29" s="4" t="s">
        <v>111</v>
      </c>
      <c r="E29" s="4" t="s">
        <v>112</v>
      </c>
      <c r="F29" s="7" t="s">
        <v>48</v>
      </c>
      <c r="G29" s="4" t="s">
        <v>61</v>
      </c>
      <c r="H29" s="5">
        <v>134</v>
      </c>
      <c r="I29" s="5">
        <v>106</v>
      </c>
      <c r="J29" s="6">
        <f t="shared" si="0"/>
        <v>0.79104477611940294</v>
      </c>
      <c r="K29" s="5"/>
      <c r="L29" s="5"/>
      <c r="M29" s="5"/>
      <c r="N29" s="9">
        <v>6</v>
      </c>
      <c r="O29" s="46">
        <f t="shared" si="1"/>
        <v>5.6603773584905662E-2</v>
      </c>
      <c r="P29" s="5">
        <v>7</v>
      </c>
      <c r="Q29" s="46">
        <f t="shared" ref="Q29" si="164">IFERROR(P29/$I29,"")</f>
        <v>6.6037735849056603E-2</v>
      </c>
      <c r="R29" s="5">
        <v>39</v>
      </c>
      <c r="S29" s="46">
        <f t="shared" ref="S29" si="165">IFERROR(R29/$I29,"")</f>
        <v>0.36792452830188677</v>
      </c>
      <c r="T29" s="5">
        <v>1</v>
      </c>
      <c r="U29" s="46">
        <f t="shared" ref="U29" si="166">IFERROR(T29/$I29,"")</f>
        <v>9.433962264150943E-3</v>
      </c>
      <c r="V29" s="5">
        <v>23</v>
      </c>
      <c r="W29" s="46">
        <f t="shared" ref="W29" si="167">IFERROR(V29/$I29,"")</f>
        <v>0.21698113207547171</v>
      </c>
      <c r="X29" s="5">
        <v>30</v>
      </c>
      <c r="Y29" s="46">
        <f t="shared" ref="Y29" si="168">IFERROR(X29/$I29,"")</f>
        <v>0.28301886792452829</v>
      </c>
      <c r="Z29" s="5">
        <v>14</v>
      </c>
      <c r="AA29" s="46">
        <f t="shared" ref="AA29" si="169">IFERROR(Z29/$I29,"")</f>
        <v>0.13207547169811321</v>
      </c>
      <c r="AB29" s="5">
        <v>78</v>
      </c>
      <c r="AC29" s="46">
        <f t="shared" si="8"/>
        <v>0.58208955223880599</v>
      </c>
      <c r="AD29" s="5">
        <v>122</v>
      </c>
      <c r="AE29" s="5">
        <v>174300</v>
      </c>
      <c r="AF29" s="5">
        <f t="shared" si="9"/>
        <v>2234.6153846153848</v>
      </c>
      <c r="AG29" s="5">
        <v>819.49</v>
      </c>
      <c r="AH29" s="49">
        <f t="shared" si="10"/>
        <v>7.731037735849057</v>
      </c>
      <c r="AI29" s="5">
        <v>12041</v>
      </c>
      <c r="AJ29" s="5">
        <v>15</v>
      </c>
      <c r="AK29" s="4">
        <v>17</v>
      </c>
      <c r="AL29" s="7">
        <v>16</v>
      </c>
      <c r="AM29" s="4">
        <v>1</v>
      </c>
      <c r="AN29" s="4">
        <v>0</v>
      </c>
      <c r="AO29" s="11">
        <f t="shared" si="11"/>
        <v>94.117647058823522</v>
      </c>
      <c r="AP29" s="50">
        <f t="shared" si="12"/>
        <v>0.12686567164179105</v>
      </c>
      <c r="AQ29" s="7">
        <v>5</v>
      </c>
      <c r="AR29" s="50">
        <f t="shared" si="13"/>
        <v>3.7313432835820892E-2</v>
      </c>
      <c r="AS29" s="4">
        <v>0</v>
      </c>
    </row>
    <row r="30" spans="1:45" ht="18" customHeight="1" x14ac:dyDescent="0.3">
      <c r="A30" s="4" t="s">
        <v>34</v>
      </c>
      <c r="B30" s="4" t="s">
        <v>98</v>
      </c>
      <c r="C30" s="4" t="s">
        <v>47</v>
      </c>
      <c r="D30" s="4" t="s">
        <v>113</v>
      </c>
      <c r="E30" s="4" t="s">
        <v>114</v>
      </c>
      <c r="F30" s="7" t="s">
        <v>48</v>
      </c>
      <c r="G30" s="4" t="s">
        <v>61</v>
      </c>
      <c r="H30" s="5">
        <v>131</v>
      </c>
      <c r="I30" s="5">
        <v>111</v>
      </c>
      <c r="J30" s="6">
        <f t="shared" si="0"/>
        <v>0.84732824427480913</v>
      </c>
      <c r="K30" s="5"/>
      <c r="L30" s="5"/>
      <c r="M30" s="5"/>
      <c r="N30" s="9">
        <v>4</v>
      </c>
      <c r="O30" s="46">
        <f t="shared" si="1"/>
        <v>3.6036036036036036E-2</v>
      </c>
      <c r="P30" s="5">
        <v>3</v>
      </c>
      <c r="Q30" s="46">
        <f t="shared" ref="Q30" si="170">IFERROR(P30/$I30,"")</f>
        <v>2.7027027027027029E-2</v>
      </c>
      <c r="R30" s="5">
        <v>46</v>
      </c>
      <c r="S30" s="46">
        <f t="shared" ref="S30" si="171">IFERROR(R30/$I30,"")</f>
        <v>0.4144144144144144</v>
      </c>
      <c r="T30" s="5">
        <v>1</v>
      </c>
      <c r="U30" s="46">
        <f t="shared" ref="U30" si="172">IFERROR(T30/$I30,"")</f>
        <v>9.0090090090090089E-3</v>
      </c>
      <c r="V30" s="5">
        <v>12</v>
      </c>
      <c r="W30" s="46">
        <f t="shared" ref="W30" si="173">IFERROR(V30/$I30,"")</f>
        <v>0.10810810810810811</v>
      </c>
      <c r="X30" s="5">
        <v>17</v>
      </c>
      <c r="Y30" s="46">
        <f t="shared" ref="Y30" si="174">IFERROR(X30/$I30,"")</f>
        <v>0.15315315315315314</v>
      </c>
      <c r="Z30" s="5">
        <v>24</v>
      </c>
      <c r="AA30" s="46">
        <f t="shared" ref="AA30" si="175">IFERROR(Z30/$I30,"")</f>
        <v>0.21621621621621623</v>
      </c>
      <c r="AB30" s="5">
        <v>80</v>
      </c>
      <c r="AC30" s="46">
        <f t="shared" si="8"/>
        <v>0.61068702290076338</v>
      </c>
      <c r="AD30" s="5">
        <v>99</v>
      </c>
      <c r="AE30" s="5">
        <v>103305</v>
      </c>
      <c r="AF30" s="5">
        <f t="shared" si="9"/>
        <v>1291.3125</v>
      </c>
      <c r="AG30" s="5">
        <v>211.86</v>
      </c>
      <c r="AH30" s="49">
        <f t="shared" si="10"/>
        <v>1.9086486486486487</v>
      </c>
      <c r="AI30" s="5">
        <v>3938</v>
      </c>
      <c r="AJ30" s="5">
        <v>6</v>
      </c>
      <c r="AK30" s="4">
        <v>20</v>
      </c>
      <c r="AL30" s="7">
        <v>17</v>
      </c>
      <c r="AM30" s="4">
        <v>2</v>
      </c>
      <c r="AN30" s="4">
        <v>1</v>
      </c>
      <c r="AO30" s="11">
        <f t="shared" si="11"/>
        <v>80</v>
      </c>
      <c r="AP30" s="50">
        <f t="shared" si="12"/>
        <v>0.15267175572519084</v>
      </c>
      <c r="AQ30" s="7">
        <v>3</v>
      </c>
      <c r="AR30" s="50">
        <f t="shared" si="13"/>
        <v>2.2900763358778626E-2</v>
      </c>
      <c r="AS30" s="4">
        <v>0</v>
      </c>
    </row>
    <row r="31" spans="1:45" ht="18" customHeight="1" x14ac:dyDescent="0.3">
      <c r="A31" s="4" t="s">
        <v>34</v>
      </c>
      <c r="B31" s="4" t="s">
        <v>115</v>
      </c>
      <c r="C31" s="4" t="s">
        <v>47</v>
      </c>
      <c r="D31" s="4" t="s">
        <v>116</v>
      </c>
      <c r="E31" s="4" t="s">
        <v>117</v>
      </c>
      <c r="F31" s="7" t="s">
        <v>48</v>
      </c>
      <c r="G31" s="4" t="s">
        <v>49</v>
      </c>
      <c r="H31" s="5">
        <v>162</v>
      </c>
      <c r="I31" s="5">
        <v>129</v>
      </c>
      <c r="J31" s="6">
        <f t="shared" si="0"/>
        <v>0.79629629629629628</v>
      </c>
      <c r="K31" s="5"/>
      <c r="L31" s="5"/>
      <c r="M31" s="5"/>
      <c r="N31" s="9">
        <v>17</v>
      </c>
      <c r="O31" s="46">
        <f t="shared" si="1"/>
        <v>0.13178294573643412</v>
      </c>
      <c r="P31" s="5">
        <v>3</v>
      </c>
      <c r="Q31" s="46">
        <f t="shared" ref="Q31" si="176">IFERROR(P31/$I31,"")</f>
        <v>2.3255813953488372E-2</v>
      </c>
      <c r="R31" s="5">
        <v>55</v>
      </c>
      <c r="S31" s="46">
        <f t="shared" ref="S31" si="177">IFERROR(R31/$I31,"")</f>
        <v>0.4263565891472868</v>
      </c>
      <c r="T31" s="5">
        <v>0</v>
      </c>
      <c r="U31" s="46">
        <f t="shared" ref="U31" si="178">IFERROR(T31/$I31,"")</f>
        <v>0</v>
      </c>
      <c r="V31" s="5">
        <v>11</v>
      </c>
      <c r="W31" s="46">
        <f t="shared" ref="W31" si="179">IFERROR(V31/$I31,"")</f>
        <v>8.5271317829457363E-2</v>
      </c>
      <c r="X31" s="5">
        <v>14</v>
      </c>
      <c r="Y31" s="46">
        <f t="shared" ref="Y31" si="180">IFERROR(X31/$I31,"")</f>
        <v>0.10852713178294573</v>
      </c>
      <c r="Z31" s="5">
        <v>12</v>
      </c>
      <c r="AA31" s="46">
        <f t="shared" ref="AA31" si="181">IFERROR(Z31/$I31,"")</f>
        <v>9.3023255813953487E-2</v>
      </c>
      <c r="AB31" s="5">
        <v>31</v>
      </c>
      <c r="AC31" s="46">
        <f t="shared" si="8"/>
        <v>0.19135802469135801</v>
      </c>
      <c r="AD31" s="5">
        <v>36</v>
      </c>
      <c r="AE31" s="5">
        <v>54847</v>
      </c>
      <c r="AF31" s="5">
        <f t="shared" si="9"/>
        <v>1769.258064516129</v>
      </c>
      <c r="AG31" s="5">
        <v>0</v>
      </c>
      <c r="AH31" s="49">
        <f t="shared" si="10"/>
        <v>0</v>
      </c>
      <c r="AI31" s="5">
        <v>5940</v>
      </c>
      <c r="AJ31" s="5">
        <v>13</v>
      </c>
      <c r="AK31" s="4">
        <v>23</v>
      </c>
      <c r="AL31" s="7">
        <v>18</v>
      </c>
      <c r="AM31" s="4">
        <v>4</v>
      </c>
      <c r="AN31" s="4">
        <v>1</v>
      </c>
      <c r="AO31" s="11">
        <f t="shared" si="11"/>
        <v>73.91304347826086</v>
      </c>
      <c r="AP31" s="50">
        <f t="shared" si="12"/>
        <v>0.1419753086419753</v>
      </c>
      <c r="AQ31" s="7">
        <v>7</v>
      </c>
      <c r="AR31" s="50">
        <f t="shared" si="13"/>
        <v>4.3209876543209874E-2</v>
      </c>
      <c r="AS31" s="4">
        <v>0</v>
      </c>
    </row>
    <row r="32" spans="1:45" ht="18" customHeight="1" x14ac:dyDescent="0.3">
      <c r="A32" s="4" t="s">
        <v>34</v>
      </c>
      <c r="B32" s="4" t="s">
        <v>118</v>
      </c>
      <c r="C32" s="4" t="s">
        <v>47</v>
      </c>
      <c r="D32" s="4" t="s">
        <v>119</v>
      </c>
      <c r="E32" s="4" t="s">
        <v>120</v>
      </c>
      <c r="F32" s="7" t="s">
        <v>48</v>
      </c>
      <c r="G32" s="4" t="s">
        <v>72</v>
      </c>
      <c r="H32" s="5">
        <v>80</v>
      </c>
      <c r="I32" s="5">
        <v>60</v>
      </c>
      <c r="J32" s="6">
        <f t="shared" si="0"/>
        <v>0.75</v>
      </c>
      <c r="K32" s="5"/>
      <c r="L32" s="5"/>
      <c r="M32" s="5"/>
      <c r="N32" s="9">
        <v>0</v>
      </c>
      <c r="O32" s="46">
        <f t="shared" si="1"/>
        <v>0</v>
      </c>
      <c r="P32" s="5">
        <v>1</v>
      </c>
      <c r="Q32" s="46">
        <f t="shared" ref="Q32" si="182">IFERROR(P32/$I32,"")</f>
        <v>1.6666666666666666E-2</v>
      </c>
      <c r="R32" s="5">
        <v>27</v>
      </c>
      <c r="S32" s="46">
        <f t="shared" ref="S32" si="183">IFERROR(R32/$I32,"")</f>
        <v>0.45</v>
      </c>
      <c r="T32" s="5">
        <v>0</v>
      </c>
      <c r="U32" s="46">
        <f t="shared" ref="U32" si="184">IFERROR(T32/$I32,"")</f>
        <v>0</v>
      </c>
      <c r="V32" s="5">
        <v>8</v>
      </c>
      <c r="W32" s="46">
        <f t="shared" ref="W32" si="185">IFERROR(V32/$I32,"")</f>
        <v>0.13333333333333333</v>
      </c>
      <c r="X32" s="5">
        <v>5</v>
      </c>
      <c r="Y32" s="46">
        <f t="shared" ref="Y32" si="186">IFERROR(X32/$I32,"")</f>
        <v>8.3333333333333329E-2</v>
      </c>
      <c r="Z32" s="5">
        <v>2</v>
      </c>
      <c r="AA32" s="46">
        <f t="shared" ref="AA32" si="187">IFERROR(Z32/$I32,"")</f>
        <v>3.3333333333333333E-2</v>
      </c>
      <c r="AB32" s="5">
        <v>20</v>
      </c>
      <c r="AC32" s="46">
        <f t="shared" si="8"/>
        <v>0.25</v>
      </c>
      <c r="AD32" s="5">
        <v>21</v>
      </c>
      <c r="AE32" s="5">
        <v>20066</v>
      </c>
      <c r="AF32" s="5">
        <f t="shared" si="9"/>
        <v>1003.3</v>
      </c>
      <c r="AG32" s="5">
        <v>757.49</v>
      </c>
      <c r="AH32" s="49">
        <f t="shared" si="10"/>
        <v>12.624833333333333</v>
      </c>
      <c r="AI32" s="5">
        <v>1795</v>
      </c>
      <c r="AJ32" s="5">
        <v>0</v>
      </c>
      <c r="AK32" s="4">
        <v>14</v>
      </c>
      <c r="AL32" s="7">
        <v>14</v>
      </c>
      <c r="AM32" s="4">
        <v>0</v>
      </c>
      <c r="AN32" s="4">
        <v>0</v>
      </c>
      <c r="AO32" s="11">
        <f t="shared" si="11"/>
        <v>100</v>
      </c>
      <c r="AP32" s="50">
        <f t="shared" si="12"/>
        <v>0.17499999999999999</v>
      </c>
      <c r="AQ32" s="7">
        <v>2</v>
      </c>
      <c r="AR32" s="50">
        <f t="shared" si="13"/>
        <v>2.5000000000000001E-2</v>
      </c>
      <c r="AS32" s="4">
        <v>0</v>
      </c>
    </row>
    <row r="33" spans="1:45" ht="18" customHeight="1" x14ac:dyDescent="0.3">
      <c r="A33" s="4" t="s">
        <v>34</v>
      </c>
      <c r="B33" s="4" t="s">
        <v>121</v>
      </c>
      <c r="C33" s="4" t="s">
        <v>47</v>
      </c>
      <c r="D33" s="4" t="s">
        <v>122</v>
      </c>
      <c r="E33" s="4" t="s">
        <v>123</v>
      </c>
      <c r="F33" s="7" t="s">
        <v>48</v>
      </c>
      <c r="G33" s="4" t="s">
        <v>49</v>
      </c>
      <c r="H33" s="5">
        <v>198</v>
      </c>
      <c r="I33" s="5">
        <v>167</v>
      </c>
      <c r="J33" s="6">
        <f t="shared" si="0"/>
        <v>0.84343434343434343</v>
      </c>
      <c r="K33" s="5"/>
      <c r="L33" s="5"/>
      <c r="M33" s="5"/>
      <c r="N33" s="9">
        <v>22</v>
      </c>
      <c r="O33" s="46">
        <f t="shared" si="1"/>
        <v>0.1317365269461078</v>
      </c>
      <c r="P33" s="5">
        <v>8</v>
      </c>
      <c r="Q33" s="46">
        <f t="shared" ref="Q33" si="188">IFERROR(P33/$I33,"")</f>
        <v>4.790419161676647E-2</v>
      </c>
      <c r="R33" s="5">
        <v>72</v>
      </c>
      <c r="S33" s="46">
        <f t="shared" ref="S33" si="189">IFERROR(R33/$I33,"")</f>
        <v>0.43113772455089822</v>
      </c>
      <c r="T33" s="5">
        <v>2</v>
      </c>
      <c r="U33" s="46">
        <f t="shared" ref="U33" si="190">IFERROR(T33/$I33,"")</f>
        <v>1.1976047904191617E-2</v>
      </c>
      <c r="V33" s="5">
        <v>30</v>
      </c>
      <c r="W33" s="46">
        <f t="shared" ref="W33" si="191">IFERROR(V33/$I33,"")</f>
        <v>0.17964071856287425</v>
      </c>
      <c r="X33" s="5">
        <v>16</v>
      </c>
      <c r="Y33" s="46">
        <f t="shared" ref="Y33" si="192">IFERROR(X33/$I33,"")</f>
        <v>9.580838323353294E-2</v>
      </c>
      <c r="Z33" s="5">
        <v>18</v>
      </c>
      <c r="AA33" s="46">
        <f t="shared" ref="AA33" si="193">IFERROR(Z33/$I33,"")</f>
        <v>0.10778443113772455</v>
      </c>
      <c r="AB33" s="5">
        <v>140</v>
      </c>
      <c r="AC33" s="46">
        <f t="shared" si="8"/>
        <v>0.70707070707070707</v>
      </c>
      <c r="AD33" s="5">
        <v>222</v>
      </c>
      <c r="AE33" s="5">
        <v>344689</v>
      </c>
      <c r="AF33" s="5">
        <f t="shared" si="9"/>
        <v>2462.0642857142857</v>
      </c>
      <c r="AG33" s="5">
        <v>13679.75</v>
      </c>
      <c r="AH33" s="49">
        <f t="shared" si="10"/>
        <v>81.914670658682638</v>
      </c>
      <c r="AI33" s="5">
        <v>12679</v>
      </c>
      <c r="AJ33" s="5">
        <v>35</v>
      </c>
      <c r="AK33" s="4">
        <v>39</v>
      </c>
      <c r="AL33" s="7">
        <v>33</v>
      </c>
      <c r="AM33" s="4">
        <v>3</v>
      </c>
      <c r="AN33" s="4">
        <v>3</v>
      </c>
      <c r="AO33" s="11">
        <f t="shared" si="11"/>
        <v>76.923076923076934</v>
      </c>
      <c r="AP33" s="50">
        <f t="shared" si="12"/>
        <v>0.19696969696969696</v>
      </c>
      <c r="AQ33" s="7">
        <v>15</v>
      </c>
      <c r="AR33" s="50">
        <f t="shared" si="13"/>
        <v>7.575757575757576E-2</v>
      </c>
      <c r="AS33" s="4">
        <v>0</v>
      </c>
    </row>
    <row r="34" spans="1:45" ht="18" customHeight="1" x14ac:dyDescent="0.3">
      <c r="A34" s="4" t="s">
        <v>34</v>
      </c>
      <c r="B34" s="4" t="s">
        <v>121</v>
      </c>
      <c r="C34" s="4" t="s">
        <v>47</v>
      </c>
      <c r="D34" s="4" t="s">
        <v>124</v>
      </c>
      <c r="E34" s="4" t="s">
        <v>125</v>
      </c>
      <c r="F34" s="7" t="s">
        <v>48</v>
      </c>
      <c r="G34" s="4" t="s">
        <v>81</v>
      </c>
      <c r="H34" s="5">
        <v>170</v>
      </c>
      <c r="I34" s="5">
        <v>151</v>
      </c>
      <c r="J34" s="6">
        <f t="shared" si="0"/>
        <v>0.88823529411764701</v>
      </c>
      <c r="K34" s="5"/>
      <c r="L34" s="5"/>
      <c r="M34" s="5"/>
      <c r="N34" s="9">
        <v>12</v>
      </c>
      <c r="O34" s="46">
        <f t="shared" si="1"/>
        <v>7.9470198675496692E-2</v>
      </c>
      <c r="P34" s="5">
        <v>4</v>
      </c>
      <c r="Q34" s="46">
        <f t="shared" ref="Q34" si="194">IFERROR(P34/$I34,"")</f>
        <v>2.6490066225165563E-2</v>
      </c>
      <c r="R34" s="5">
        <v>47</v>
      </c>
      <c r="S34" s="46">
        <f t="shared" ref="S34" si="195">IFERROR(R34/$I34,"")</f>
        <v>0.31125827814569534</v>
      </c>
      <c r="T34" s="5">
        <v>1</v>
      </c>
      <c r="U34" s="46">
        <f t="shared" ref="U34" si="196">IFERROR(T34/$I34,"")</f>
        <v>6.6225165562913907E-3</v>
      </c>
      <c r="V34" s="5">
        <v>14</v>
      </c>
      <c r="W34" s="46">
        <f t="shared" ref="W34" si="197">IFERROR(V34/$I34,"")</f>
        <v>9.2715231788079472E-2</v>
      </c>
      <c r="X34" s="5">
        <v>18</v>
      </c>
      <c r="Y34" s="46">
        <f t="shared" ref="Y34" si="198">IFERROR(X34/$I34,"")</f>
        <v>0.11920529801324503</v>
      </c>
      <c r="Z34" s="5">
        <v>12</v>
      </c>
      <c r="AA34" s="46">
        <f t="shared" ref="AA34" si="199">IFERROR(Z34/$I34,"")</f>
        <v>7.9470198675496692E-2</v>
      </c>
      <c r="AB34" s="5">
        <v>104</v>
      </c>
      <c r="AC34" s="46">
        <f t="shared" si="8"/>
        <v>0.61176470588235299</v>
      </c>
      <c r="AD34" s="5">
        <v>129</v>
      </c>
      <c r="AE34" s="5">
        <v>177890</v>
      </c>
      <c r="AF34" s="5">
        <f t="shared" si="9"/>
        <v>1710.4807692307693</v>
      </c>
      <c r="AG34" s="5">
        <v>2176.79</v>
      </c>
      <c r="AH34" s="49">
        <f t="shared" si="10"/>
        <v>14.415827814569536</v>
      </c>
      <c r="AI34" s="5">
        <v>9740</v>
      </c>
      <c r="AJ34" s="5">
        <v>23</v>
      </c>
      <c r="AK34" s="4">
        <v>24</v>
      </c>
      <c r="AL34" s="7">
        <v>23</v>
      </c>
      <c r="AM34" s="4">
        <v>0</v>
      </c>
      <c r="AN34" s="4">
        <v>1</v>
      </c>
      <c r="AO34" s="11">
        <f t="shared" si="11"/>
        <v>91.666666666666657</v>
      </c>
      <c r="AP34" s="50">
        <f t="shared" si="12"/>
        <v>0.14117647058823529</v>
      </c>
      <c r="AQ34" s="7">
        <v>13</v>
      </c>
      <c r="AR34" s="50">
        <f t="shared" si="13"/>
        <v>7.6470588235294124E-2</v>
      </c>
      <c r="AS34" s="4">
        <v>0</v>
      </c>
    </row>
    <row r="35" spans="1:45" ht="18" customHeight="1" x14ac:dyDescent="0.3">
      <c r="A35" s="4" t="s">
        <v>34</v>
      </c>
      <c r="B35" s="4" t="s">
        <v>121</v>
      </c>
      <c r="C35" s="4" t="s">
        <v>47</v>
      </c>
      <c r="D35" s="4" t="s">
        <v>126</v>
      </c>
      <c r="E35" s="4" t="s">
        <v>127</v>
      </c>
      <c r="F35" s="7" t="s">
        <v>48</v>
      </c>
      <c r="G35" s="4" t="s">
        <v>61</v>
      </c>
      <c r="H35" s="5">
        <v>191</v>
      </c>
      <c r="I35" s="5">
        <v>162</v>
      </c>
      <c r="J35" s="6">
        <f t="shared" si="0"/>
        <v>0.84816753926701571</v>
      </c>
      <c r="K35" s="5"/>
      <c r="L35" s="5"/>
      <c r="M35" s="5"/>
      <c r="N35" s="9">
        <v>25</v>
      </c>
      <c r="O35" s="46">
        <f t="shared" si="1"/>
        <v>0.15432098765432098</v>
      </c>
      <c r="P35" s="5">
        <v>6</v>
      </c>
      <c r="Q35" s="46">
        <f t="shared" ref="Q35" si="200">IFERROR(P35/$I35,"")</f>
        <v>3.7037037037037035E-2</v>
      </c>
      <c r="R35" s="5">
        <v>61</v>
      </c>
      <c r="S35" s="46">
        <f t="shared" ref="S35" si="201">IFERROR(R35/$I35,"")</f>
        <v>0.37654320987654322</v>
      </c>
      <c r="T35" s="5">
        <v>2</v>
      </c>
      <c r="U35" s="46">
        <f t="shared" ref="U35" si="202">IFERROR(T35/$I35,"")</f>
        <v>1.2345679012345678E-2</v>
      </c>
      <c r="V35" s="5">
        <v>26</v>
      </c>
      <c r="W35" s="46">
        <f t="shared" ref="W35" si="203">IFERROR(V35/$I35,"")</f>
        <v>0.16049382716049382</v>
      </c>
      <c r="X35" s="5">
        <v>34</v>
      </c>
      <c r="Y35" s="46">
        <f t="shared" ref="Y35" si="204">IFERROR(X35/$I35,"")</f>
        <v>0.20987654320987653</v>
      </c>
      <c r="Z35" s="5">
        <v>34</v>
      </c>
      <c r="AA35" s="46">
        <f t="shared" ref="AA35" si="205">IFERROR(Z35/$I35,"")</f>
        <v>0.20987654320987653</v>
      </c>
      <c r="AB35" s="5">
        <v>126</v>
      </c>
      <c r="AC35" s="46">
        <f t="shared" si="8"/>
        <v>0.65968586387434558</v>
      </c>
      <c r="AD35" s="5">
        <v>176</v>
      </c>
      <c r="AE35" s="5">
        <v>322997</v>
      </c>
      <c r="AF35" s="5">
        <f t="shared" si="9"/>
        <v>2563.468253968254</v>
      </c>
      <c r="AG35" s="5">
        <v>3390.97</v>
      </c>
      <c r="AH35" s="49">
        <f t="shared" si="10"/>
        <v>20.931913580246913</v>
      </c>
      <c r="AI35" s="5">
        <v>0</v>
      </c>
      <c r="AJ35" s="5">
        <v>26</v>
      </c>
      <c r="AK35" s="4">
        <v>22</v>
      </c>
      <c r="AL35" s="7">
        <v>15</v>
      </c>
      <c r="AM35" s="4">
        <v>4</v>
      </c>
      <c r="AN35" s="4">
        <v>3</v>
      </c>
      <c r="AO35" s="11">
        <f t="shared" si="11"/>
        <v>54.54545454545454</v>
      </c>
      <c r="AP35" s="50">
        <f t="shared" si="12"/>
        <v>0.11518324607329843</v>
      </c>
      <c r="AQ35" s="7">
        <v>9</v>
      </c>
      <c r="AR35" s="50">
        <f t="shared" si="13"/>
        <v>4.712041884816754E-2</v>
      </c>
      <c r="AS35" s="4">
        <v>0</v>
      </c>
    </row>
    <row r="36" spans="1:45" ht="18" customHeight="1" x14ac:dyDescent="0.3">
      <c r="A36" s="4" t="s">
        <v>34</v>
      </c>
      <c r="B36" s="4" t="s">
        <v>121</v>
      </c>
      <c r="C36" s="4" t="s">
        <v>47</v>
      </c>
      <c r="D36" s="4" t="s">
        <v>128</v>
      </c>
      <c r="E36" s="4" t="s">
        <v>129</v>
      </c>
      <c r="F36" s="7" t="s">
        <v>48</v>
      </c>
      <c r="G36" s="4" t="s">
        <v>57</v>
      </c>
      <c r="H36" s="5">
        <v>211</v>
      </c>
      <c r="I36" s="5">
        <v>170</v>
      </c>
      <c r="J36" s="6">
        <f t="shared" si="0"/>
        <v>0.80568720379146919</v>
      </c>
      <c r="K36" s="5"/>
      <c r="L36" s="5"/>
      <c r="M36" s="5"/>
      <c r="N36" s="9">
        <v>16</v>
      </c>
      <c r="O36" s="46">
        <f t="shared" si="1"/>
        <v>9.4117647058823528E-2</v>
      </c>
      <c r="P36" s="5">
        <v>7</v>
      </c>
      <c r="Q36" s="46">
        <f t="shared" ref="Q36" si="206">IFERROR(P36/$I36,"")</f>
        <v>4.1176470588235294E-2</v>
      </c>
      <c r="R36" s="5">
        <v>59</v>
      </c>
      <c r="S36" s="46">
        <f t="shared" ref="S36" si="207">IFERROR(R36/$I36,"")</f>
        <v>0.34705882352941175</v>
      </c>
      <c r="T36" s="5">
        <v>1</v>
      </c>
      <c r="U36" s="46">
        <f t="shared" ref="U36" si="208">IFERROR(T36/$I36,"")</f>
        <v>5.8823529411764705E-3</v>
      </c>
      <c r="V36" s="5">
        <v>32</v>
      </c>
      <c r="W36" s="46">
        <f t="shared" ref="W36" si="209">IFERROR(V36/$I36,"")</f>
        <v>0.18823529411764706</v>
      </c>
      <c r="X36" s="5">
        <v>19</v>
      </c>
      <c r="Y36" s="46">
        <f t="shared" ref="Y36" si="210">IFERROR(X36/$I36,"")</f>
        <v>0.11176470588235295</v>
      </c>
      <c r="Z36" s="5">
        <v>28</v>
      </c>
      <c r="AA36" s="46">
        <f t="shared" ref="AA36" si="211">IFERROR(Z36/$I36,"")</f>
        <v>0.16470588235294117</v>
      </c>
      <c r="AB36" s="5">
        <v>123</v>
      </c>
      <c r="AC36" s="46">
        <f t="shared" si="8"/>
        <v>0.58293838862559244</v>
      </c>
      <c r="AD36" s="5">
        <v>148</v>
      </c>
      <c r="AE36" s="5">
        <v>205024</v>
      </c>
      <c r="AF36" s="5">
        <f t="shared" si="9"/>
        <v>1666.8617886178861</v>
      </c>
      <c r="AG36" s="5">
        <v>2999.14</v>
      </c>
      <c r="AH36" s="49">
        <f t="shared" si="10"/>
        <v>17.641999999999999</v>
      </c>
      <c r="AI36" s="5">
        <v>347</v>
      </c>
      <c r="AJ36" s="5">
        <v>39</v>
      </c>
      <c r="AK36" s="4">
        <v>34</v>
      </c>
      <c r="AL36" s="7">
        <v>30</v>
      </c>
      <c r="AM36" s="4">
        <v>1</v>
      </c>
      <c r="AN36" s="4">
        <v>3</v>
      </c>
      <c r="AO36" s="11">
        <f t="shared" si="11"/>
        <v>79.411764705882348</v>
      </c>
      <c r="AP36" s="50">
        <f t="shared" si="12"/>
        <v>0.16113744075829384</v>
      </c>
      <c r="AQ36" s="7">
        <v>12</v>
      </c>
      <c r="AR36" s="50">
        <f t="shared" si="13"/>
        <v>5.6872037914691941E-2</v>
      </c>
      <c r="AS36" s="4">
        <v>0</v>
      </c>
    </row>
    <row r="37" spans="1:45" ht="18" customHeight="1" x14ac:dyDescent="0.3">
      <c r="A37" s="4" t="s">
        <v>34</v>
      </c>
      <c r="B37" s="4" t="s">
        <v>121</v>
      </c>
      <c r="C37" s="4" t="s">
        <v>47</v>
      </c>
      <c r="D37" s="4" t="s">
        <v>130</v>
      </c>
      <c r="E37" s="4" t="s">
        <v>131</v>
      </c>
      <c r="F37" s="7" t="s">
        <v>48</v>
      </c>
      <c r="G37" s="4" t="s">
        <v>88</v>
      </c>
      <c r="H37" s="5">
        <v>159</v>
      </c>
      <c r="I37" s="5">
        <v>134</v>
      </c>
      <c r="J37" s="6">
        <f t="shared" si="0"/>
        <v>0.84276729559748431</v>
      </c>
      <c r="K37" s="5"/>
      <c r="L37" s="5"/>
      <c r="M37" s="5"/>
      <c r="N37" s="9">
        <v>16</v>
      </c>
      <c r="O37" s="46">
        <f t="shared" si="1"/>
        <v>0.11940298507462686</v>
      </c>
      <c r="P37" s="5">
        <v>9</v>
      </c>
      <c r="Q37" s="46">
        <f t="shared" ref="Q37" si="212">IFERROR(P37/$I37,"")</f>
        <v>6.7164179104477612E-2</v>
      </c>
      <c r="R37" s="5">
        <v>52</v>
      </c>
      <c r="S37" s="46">
        <f t="shared" ref="S37" si="213">IFERROR(R37/$I37,"")</f>
        <v>0.38805970149253732</v>
      </c>
      <c r="T37" s="5">
        <v>1</v>
      </c>
      <c r="U37" s="46">
        <f t="shared" ref="U37" si="214">IFERROR(T37/$I37,"")</f>
        <v>7.462686567164179E-3</v>
      </c>
      <c r="V37" s="5">
        <v>18</v>
      </c>
      <c r="W37" s="46">
        <f t="shared" ref="W37" si="215">IFERROR(V37/$I37,"")</f>
        <v>0.13432835820895522</v>
      </c>
      <c r="X37" s="5">
        <v>23</v>
      </c>
      <c r="Y37" s="46">
        <f t="shared" ref="Y37" si="216">IFERROR(X37/$I37,"")</f>
        <v>0.17164179104477612</v>
      </c>
      <c r="Z37" s="5">
        <v>30</v>
      </c>
      <c r="AA37" s="46">
        <f t="shared" ref="AA37" si="217">IFERROR(Z37/$I37,"")</f>
        <v>0.22388059701492538</v>
      </c>
      <c r="AB37" s="5">
        <v>111</v>
      </c>
      <c r="AC37" s="46">
        <f t="shared" si="8"/>
        <v>0.69811320754716977</v>
      </c>
      <c r="AD37" s="5">
        <v>176</v>
      </c>
      <c r="AE37" s="5">
        <v>225691</v>
      </c>
      <c r="AF37" s="5">
        <f t="shared" si="9"/>
        <v>2033.2522522522522</v>
      </c>
      <c r="AG37" s="5">
        <v>1810.99</v>
      </c>
      <c r="AH37" s="49">
        <f t="shared" si="10"/>
        <v>13.514850746268657</v>
      </c>
      <c r="AI37" s="5">
        <v>13252</v>
      </c>
      <c r="AJ37" s="5">
        <v>30</v>
      </c>
      <c r="AK37" s="4">
        <v>23</v>
      </c>
      <c r="AL37" s="7">
        <v>19</v>
      </c>
      <c r="AM37" s="4">
        <v>1</v>
      </c>
      <c r="AN37" s="4">
        <v>3</v>
      </c>
      <c r="AO37" s="11">
        <f t="shared" si="11"/>
        <v>69.565217391304344</v>
      </c>
      <c r="AP37" s="50">
        <f t="shared" si="12"/>
        <v>0.14465408805031446</v>
      </c>
      <c r="AQ37" s="7">
        <v>7</v>
      </c>
      <c r="AR37" s="50">
        <f t="shared" si="13"/>
        <v>4.40251572327044E-2</v>
      </c>
      <c r="AS37" s="4">
        <v>0</v>
      </c>
    </row>
    <row r="38" spans="1:45" ht="18" customHeight="1" x14ac:dyDescent="0.3">
      <c r="A38" s="4" t="s">
        <v>34</v>
      </c>
      <c r="B38" s="4" t="s">
        <v>121</v>
      </c>
      <c r="C38" s="4" t="s">
        <v>47</v>
      </c>
      <c r="D38" s="4" t="s">
        <v>132</v>
      </c>
      <c r="E38" s="4" t="s">
        <v>133</v>
      </c>
      <c r="F38" s="7" t="s">
        <v>48</v>
      </c>
      <c r="G38" s="4" t="s">
        <v>81</v>
      </c>
      <c r="H38" s="5">
        <v>207</v>
      </c>
      <c r="I38" s="5">
        <v>182</v>
      </c>
      <c r="J38" s="6">
        <f t="shared" si="0"/>
        <v>0.87922705314009664</v>
      </c>
      <c r="K38" s="5"/>
      <c r="L38" s="5"/>
      <c r="M38" s="5"/>
      <c r="N38" s="9">
        <v>24</v>
      </c>
      <c r="O38" s="46">
        <f t="shared" si="1"/>
        <v>0.13186813186813187</v>
      </c>
      <c r="P38" s="5">
        <v>9</v>
      </c>
      <c r="Q38" s="46">
        <f t="shared" ref="Q38" si="218">IFERROR(P38/$I38,"")</f>
        <v>4.9450549450549448E-2</v>
      </c>
      <c r="R38" s="5">
        <v>76</v>
      </c>
      <c r="S38" s="46">
        <f t="shared" ref="S38" si="219">IFERROR(R38/$I38,"")</f>
        <v>0.4175824175824176</v>
      </c>
      <c r="T38" s="5">
        <v>0</v>
      </c>
      <c r="U38" s="46">
        <f t="shared" ref="U38" si="220">IFERROR(T38/$I38,"")</f>
        <v>0</v>
      </c>
      <c r="V38" s="5">
        <v>22</v>
      </c>
      <c r="W38" s="46">
        <f t="shared" ref="W38" si="221">IFERROR(V38/$I38,"")</f>
        <v>0.12087912087912088</v>
      </c>
      <c r="X38" s="5">
        <v>44</v>
      </c>
      <c r="Y38" s="46">
        <f t="shared" ref="Y38" si="222">IFERROR(X38/$I38,"")</f>
        <v>0.24175824175824176</v>
      </c>
      <c r="Z38" s="5">
        <v>40</v>
      </c>
      <c r="AA38" s="46">
        <f t="shared" ref="AA38" si="223">IFERROR(Z38/$I38,"")</f>
        <v>0.21978021978021978</v>
      </c>
      <c r="AB38" s="5">
        <v>129</v>
      </c>
      <c r="AC38" s="46">
        <f t="shared" si="8"/>
        <v>0.62318840579710144</v>
      </c>
      <c r="AD38" s="5">
        <v>183</v>
      </c>
      <c r="AE38" s="5">
        <v>239073</v>
      </c>
      <c r="AF38" s="5">
        <f t="shared" si="9"/>
        <v>1853.2790697674418</v>
      </c>
      <c r="AG38" s="5">
        <v>3615.86</v>
      </c>
      <c r="AH38" s="49">
        <f t="shared" si="10"/>
        <v>19.867362637362639</v>
      </c>
      <c r="AI38" s="5">
        <v>347</v>
      </c>
      <c r="AJ38" s="5">
        <v>26</v>
      </c>
      <c r="AK38" s="4">
        <v>36</v>
      </c>
      <c r="AL38" s="7">
        <v>32</v>
      </c>
      <c r="AM38" s="4">
        <v>1</v>
      </c>
      <c r="AN38" s="4">
        <v>3</v>
      </c>
      <c r="AO38" s="11">
        <f t="shared" si="11"/>
        <v>80.555555555555557</v>
      </c>
      <c r="AP38" s="50">
        <f t="shared" si="12"/>
        <v>0.17391304347826086</v>
      </c>
      <c r="AQ38" s="7">
        <v>12</v>
      </c>
      <c r="AR38" s="50">
        <f t="shared" si="13"/>
        <v>5.7971014492753624E-2</v>
      </c>
      <c r="AS38" s="4">
        <v>0</v>
      </c>
    </row>
    <row r="39" spans="1:45" ht="18" customHeight="1" x14ac:dyDescent="0.3">
      <c r="A39" s="4" t="s">
        <v>34</v>
      </c>
      <c r="B39" s="4" t="s">
        <v>121</v>
      </c>
      <c r="C39" s="4" t="s">
        <v>47</v>
      </c>
      <c r="D39" s="4" t="s">
        <v>134</v>
      </c>
      <c r="E39" s="4" t="s">
        <v>135</v>
      </c>
      <c r="F39" s="7" t="s">
        <v>48</v>
      </c>
      <c r="G39" s="4" t="s">
        <v>61</v>
      </c>
      <c r="H39" s="5">
        <v>147</v>
      </c>
      <c r="I39" s="5">
        <v>126</v>
      </c>
      <c r="J39" s="6">
        <f t="shared" si="0"/>
        <v>0.8571428571428571</v>
      </c>
      <c r="K39" s="5"/>
      <c r="L39" s="5"/>
      <c r="M39" s="5"/>
      <c r="N39" s="9">
        <v>12</v>
      </c>
      <c r="O39" s="46">
        <f t="shared" si="1"/>
        <v>9.5238095238095233E-2</v>
      </c>
      <c r="P39" s="5">
        <v>2</v>
      </c>
      <c r="Q39" s="46">
        <f t="shared" ref="Q39" si="224">IFERROR(P39/$I39,"")</f>
        <v>1.5873015873015872E-2</v>
      </c>
      <c r="R39" s="5">
        <v>40</v>
      </c>
      <c r="S39" s="46">
        <f t="shared" ref="S39" si="225">IFERROR(R39/$I39,"")</f>
        <v>0.31746031746031744</v>
      </c>
      <c r="T39" s="5">
        <v>0</v>
      </c>
      <c r="U39" s="46">
        <f t="shared" ref="U39" si="226">IFERROR(T39/$I39,"")</f>
        <v>0</v>
      </c>
      <c r="V39" s="5">
        <v>7</v>
      </c>
      <c r="W39" s="46">
        <f t="shared" ref="W39" si="227">IFERROR(V39/$I39,"")</f>
        <v>5.5555555555555552E-2</v>
      </c>
      <c r="X39" s="5">
        <v>7</v>
      </c>
      <c r="Y39" s="46">
        <f t="shared" ref="Y39" si="228">IFERROR(X39/$I39,"")</f>
        <v>5.5555555555555552E-2</v>
      </c>
      <c r="Z39" s="5">
        <v>4</v>
      </c>
      <c r="AA39" s="46">
        <f t="shared" ref="AA39" si="229">IFERROR(Z39/$I39,"")</f>
        <v>3.1746031746031744E-2</v>
      </c>
      <c r="AB39" s="5">
        <v>81</v>
      </c>
      <c r="AC39" s="46">
        <f t="shared" si="8"/>
        <v>0.55102040816326525</v>
      </c>
      <c r="AD39" s="5">
        <v>96</v>
      </c>
      <c r="AE39" s="5">
        <v>122454</v>
      </c>
      <c r="AF39" s="5">
        <f t="shared" si="9"/>
        <v>1511.7777777777778</v>
      </c>
      <c r="AG39" s="5">
        <v>2660.16</v>
      </c>
      <c r="AH39" s="49">
        <f t="shared" si="10"/>
        <v>21.112380952380953</v>
      </c>
      <c r="AI39" s="5">
        <v>740</v>
      </c>
      <c r="AJ39" s="5">
        <v>23</v>
      </c>
      <c r="AK39" s="4">
        <v>10</v>
      </c>
      <c r="AL39" s="7">
        <v>7</v>
      </c>
      <c r="AM39" s="4">
        <v>1</v>
      </c>
      <c r="AN39" s="4">
        <v>2</v>
      </c>
      <c r="AO39" s="11">
        <f t="shared" si="11"/>
        <v>50</v>
      </c>
      <c r="AP39" s="50">
        <f t="shared" si="12"/>
        <v>6.8027210884353748E-2</v>
      </c>
      <c r="AQ39" s="7">
        <v>10</v>
      </c>
      <c r="AR39" s="50">
        <f t="shared" si="13"/>
        <v>6.8027210884353748E-2</v>
      </c>
      <c r="AS39" s="4">
        <v>0</v>
      </c>
    </row>
    <row r="40" spans="1:45" ht="18" customHeight="1" x14ac:dyDescent="0.3">
      <c r="A40" s="4" t="s">
        <v>34</v>
      </c>
      <c r="B40" s="4" t="s">
        <v>136</v>
      </c>
      <c r="C40" s="4" t="s">
        <v>47</v>
      </c>
      <c r="D40" s="4" t="s">
        <v>137</v>
      </c>
      <c r="E40" s="4" t="s">
        <v>138</v>
      </c>
      <c r="F40" s="7" t="s">
        <v>48</v>
      </c>
      <c r="G40" s="4" t="s">
        <v>49</v>
      </c>
      <c r="H40" s="5">
        <v>146</v>
      </c>
      <c r="I40" s="5">
        <v>111</v>
      </c>
      <c r="J40" s="6">
        <f t="shared" si="0"/>
        <v>0.76027397260273977</v>
      </c>
      <c r="K40" s="5"/>
      <c r="L40" s="5"/>
      <c r="M40" s="5"/>
      <c r="N40" s="9">
        <v>8</v>
      </c>
      <c r="O40" s="46">
        <f t="shared" si="1"/>
        <v>7.2072072072072071E-2</v>
      </c>
      <c r="P40" s="5">
        <v>7</v>
      </c>
      <c r="Q40" s="46">
        <f t="shared" ref="Q40" si="230">IFERROR(P40/$I40,"")</f>
        <v>6.3063063063063057E-2</v>
      </c>
      <c r="R40" s="5">
        <v>32</v>
      </c>
      <c r="S40" s="46">
        <f t="shared" ref="S40" si="231">IFERROR(R40/$I40,"")</f>
        <v>0.28828828828828829</v>
      </c>
      <c r="T40" s="5">
        <v>2</v>
      </c>
      <c r="U40" s="46">
        <f t="shared" ref="U40" si="232">IFERROR(T40/$I40,"")</f>
        <v>1.8018018018018018E-2</v>
      </c>
      <c r="V40" s="5">
        <v>13</v>
      </c>
      <c r="W40" s="46">
        <f t="shared" ref="W40" si="233">IFERROR(V40/$I40,"")</f>
        <v>0.11711711711711711</v>
      </c>
      <c r="X40" s="5">
        <v>14</v>
      </c>
      <c r="Y40" s="46">
        <f t="shared" ref="Y40" si="234">IFERROR(X40/$I40,"")</f>
        <v>0.12612612612612611</v>
      </c>
      <c r="Z40" s="5">
        <v>14</v>
      </c>
      <c r="AA40" s="46">
        <f t="shared" ref="AA40" si="235">IFERROR(Z40/$I40,"")</f>
        <v>0.12612612612612611</v>
      </c>
      <c r="AB40" s="5">
        <v>61</v>
      </c>
      <c r="AC40" s="46">
        <f t="shared" si="8"/>
        <v>0.4178082191780822</v>
      </c>
      <c r="AD40" s="5">
        <v>89</v>
      </c>
      <c r="AE40" s="5">
        <v>111426</v>
      </c>
      <c r="AF40" s="5">
        <f t="shared" si="9"/>
        <v>1826.655737704918</v>
      </c>
      <c r="AG40" s="5">
        <v>168.64</v>
      </c>
      <c r="AH40" s="49">
        <f t="shared" si="10"/>
        <v>1.5192792792792791</v>
      </c>
      <c r="AI40" s="5">
        <v>226</v>
      </c>
      <c r="AJ40" s="5">
        <v>0</v>
      </c>
      <c r="AK40" s="4">
        <v>17</v>
      </c>
      <c r="AL40" s="7">
        <v>16</v>
      </c>
      <c r="AM40" s="4">
        <v>1</v>
      </c>
      <c r="AN40" s="4">
        <v>0</v>
      </c>
      <c r="AO40" s="11">
        <f t="shared" si="11"/>
        <v>94.117647058823522</v>
      </c>
      <c r="AP40" s="50">
        <f t="shared" si="12"/>
        <v>0.11643835616438356</v>
      </c>
      <c r="AQ40" s="7">
        <v>4</v>
      </c>
      <c r="AR40" s="50">
        <f t="shared" si="13"/>
        <v>2.7397260273972601E-2</v>
      </c>
      <c r="AS40" s="4">
        <v>0</v>
      </c>
    </row>
    <row r="41" spans="1:45" ht="18" customHeight="1" x14ac:dyDescent="0.3">
      <c r="A41" s="4" t="s">
        <v>34</v>
      </c>
      <c r="B41" s="4" t="s">
        <v>139</v>
      </c>
      <c r="C41" s="4" t="s">
        <v>47</v>
      </c>
      <c r="D41" s="4" t="s">
        <v>140</v>
      </c>
      <c r="E41" s="4" t="s">
        <v>141</v>
      </c>
      <c r="F41" s="7" t="s">
        <v>48</v>
      </c>
      <c r="G41" s="4" t="s">
        <v>142</v>
      </c>
      <c r="H41" s="5">
        <v>180</v>
      </c>
      <c r="I41" s="5">
        <v>128</v>
      </c>
      <c r="J41" s="6">
        <f t="shared" si="0"/>
        <v>0.71111111111111114</v>
      </c>
      <c r="K41" s="5"/>
      <c r="L41" s="5"/>
      <c r="M41" s="5"/>
      <c r="N41" s="9">
        <v>6</v>
      </c>
      <c r="O41" s="46">
        <f t="shared" si="1"/>
        <v>4.6875E-2</v>
      </c>
      <c r="P41" s="5">
        <v>6</v>
      </c>
      <c r="Q41" s="46">
        <f t="shared" ref="Q41" si="236">IFERROR(P41/$I41,"")</f>
        <v>4.6875E-2</v>
      </c>
      <c r="R41" s="5">
        <v>46</v>
      </c>
      <c r="S41" s="46">
        <f t="shared" ref="S41" si="237">IFERROR(R41/$I41,"")</f>
        <v>0.359375</v>
      </c>
      <c r="T41" s="5">
        <v>2</v>
      </c>
      <c r="U41" s="46">
        <f t="shared" ref="U41" si="238">IFERROR(T41/$I41,"")</f>
        <v>1.5625E-2</v>
      </c>
      <c r="V41" s="5">
        <v>32</v>
      </c>
      <c r="W41" s="46">
        <f t="shared" ref="W41" si="239">IFERROR(V41/$I41,"")</f>
        <v>0.25</v>
      </c>
      <c r="X41" s="5">
        <v>15</v>
      </c>
      <c r="Y41" s="46">
        <f t="shared" ref="Y41" si="240">IFERROR(X41/$I41,"")</f>
        <v>0.1171875</v>
      </c>
      <c r="Z41" s="5">
        <v>3</v>
      </c>
      <c r="AA41" s="46">
        <f t="shared" ref="AA41" si="241">IFERROR(Z41/$I41,"")</f>
        <v>2.34375E-2</v>
      </c>
      <c r="AB41" s="5">
        <v>73</v>
      </c>
      <c r="AC41" s="46">
        <f t="shared" si="8"/>
        <v>0.40555555555555556</v>
      </c>
      <c r="AD41" s="5">
        <v>95</v>
      </c>
      <c r="AE41" s="5">
        <v>111522</v>
      </c>
      <c r="AF41" s="5">
        <f t="shared" si="9"/>
        <v>1527.6986301369864</v>
      </c>
      <c r="AG41" s="5">
        <v>0</v>
      </c>
      <c r="AH41" s="49">
        <f t="shared" si="10"/>
        <v>0</v>
      </c>
      <c r="AI41" s="5">
        <v>23459</v>
      </c>
      <c r="AJ41" s="5">
        <v>0</v>
      </c>
      <c r="AK41" s="4">
        <v>20</v>
      </c>
      <c r="AL41" s="7">
        <v>17</v>
      </c>
      <c r="AM41" s="4">
        <v>2</v>
      </c>
      <c r="AN41" s="4">
        <v>1</v>
      </c>
      <c r="AO41" s="11">
        <f t="shared" si="11"/>
        <v>80</v>
      </c>
      <c r="AP41" s="50">
        <f t="shared" si="12"/>
        <v>0.1111111111111111</v>
      </c>
      <c r="AQ41" s="7">
        <v>5</v>
      </c>
      <c r="AR41" s="50">
        <f t="shared" si="13"/>
        <v>2.7777777777777776E-2</v>
      </c>
      <c r="AS41" s="4">
        <v>0</v>
      </c>
    </row>
    <row r="42" spans="1:45" ht="18" customHeight="1" x14ac:dyDescent="0.3">
      <c r="A42" s="4" t="s">
        <v>34</v>
      </c>
      <c r="B42" s="4" t="s">
        <v>143</v>
      </c>
      <c r="C42" s="4" t="s">
        <v>47</v>
      </c>
      <c r="D42" s="4" t="s">
        <v>144</v>
      </c>
      <c r="E42" s="4" t="s">
        <v>145</v>
      </c>
      <c r="F42" s="7" t="s">
        <v>48</v>
      </c>
      <c r="G42" s="4" t="s">
        <v>57</v>
      </c>
      <c r="H42" s="5">
        <v>141</v>
      </c>
      <c r="I42" s="5">
        <v>104</v>
      </c>
      <c r="J42" s="6">
        <f t="shared" si="0"/>
        <v>0.73758865248226946</v>
      </c>
      <c r="K42" s="5"/>
      <c r="L42" s="5"/>
      <c r="M42" s="5"/>
      <c r="N42" s="9">
        <v>6</v>
      </c>
      <c r="O42" s="46">
        <f t="shared" si="1"/>
        <v>5.7692307692307696E-2</v>
      </c>
      <c r="P42" s="5">
        <v>5</v>
      </c>
      <c r="Q42" s="46">
        <f t="shared" ref="Q42" si="242">IFERROR(P42/$I42,"")</f>
        <v>4.807692307692308E-2</v>
      </c>
      <c r="R42" s="5">
        <v>37</v>
      </c>
      <c r="S42" s="46">
        <f t="shared" ref="S42" si="243">IFERROR(R42/$I42,"")</f>
        <v>0.35576923076923078</v>
      </c>
      <c r="T42" s="5">
        <v>2</v>
      </c>
      <c r="U42" s="46">
        <f t="shared" ref="U42" si="244">IFERROR(T42/$I42,"")</f>
        <v>1.9230769230769232E-2</v>
      </c>
      <c r="V42" s="5">
        <v>10</v>
      </c>
      <c r="W42" s="46">
        <f t="shared" ref="W42" si="245">IFERROR(V42/$I42,"")</f>
        <v>9.6153846153846159E-2</v>
      </c>
      <c r="X42" s="5">
        <v>13</v>
      </c>
      <c r="Y42" s="46">
        <f t="shared" ref="Y42" si="246">IFERROR(X42/$I42,"")</f>
        <v>0.125</v>
      </c>
      <c r="Z42" s="5">
        <v>2</v>
      </c>
      <c r="AA42" s="46">
        <f t="shared" ref="AA42" si="247">IFERROR(Z42/$I42,"")</f>
        <v>1.9230769230769232E-2</v>
      </c>
      <c r="AB42" s="5">
        <v>74</v>
      </c>
      <c r="AC42" s="46">
        <f t="shared" si="8"/>
        <v>0.52482269503546097</v>
      </c>
      <c r="AD42" s="5">
        <v>93</v>
      </c>
      <c r="AE42" s="5">
        <v>117887</v>
      </c>
      <c r="AF42" s="5">
        <f t="shared" si="9"/>
        <v>1593.0675675675675</v>
      </c>
      <c r="AG42" s="5">
        <v>1346.53</v>
      </c>
      <c r="AH42" s="49">
        <f t="shared" si="10"/>
        <v>12.947403846153845</v>
      </c>
      <c r="AI42" s="5">
        <v>0</v>
      </c>
      <c r="AJ42" s="5">
        <v>0</v>
      </c>
      <c r="AK42" s="4">
        <v>18</v>
      </c>
      <c r="AL42" s="7">
        <v>17</v>
      </c>
      <c r="AM42" s="4">
        <v>0</v>
      </c>
      <c r="AN42" s="4">
        <v>1</v>
      </c>
      <c r="AO42" s="11">
        <f t="shared" si="11"/>
        <v>88.888888888888886</v>
      </c>
      <c r="AP42" s="50">
        <f t="shared" si="12"/>
        <v>0.1276595744680851</v>
      </c>
      <c r="AQ42" s="7">
        <v>0</v>
      </c>
      <c r="AR42" s="50">
        <f t="shared" si="13"/>
        <v>0</v>
      </c>
      <c r="AS42" s="4">
        <v>0</v>
      </c>
    </row>
    <row r="43" spans="1:45" ht="18" customHeight="1" x14ac:dyDescent="0.3">
      <c r="A43" s="4" t="s">
        <v>36</v>
      </c>
      <c r="B43" s="4" t="s">
        <v>4</v>
      </c>
      <c r="C43" s="4" t="s">
        <v>47</v>
      </c>
      <c r="D43" s="4" t="s">
        <v>35</v>
      </c>
      <c r="E43" s="4" t="s">
        <v>2</v>
      </c>
      <c r="F43" s="7" t="s">
        <v>48</v>
      </c>
      <c r="G43" s="4" t="s">
        <v>49</v>
      </c>
      <c r="H43" s="5">
        <v>146</v>
      </c>
      <c r="I43" s="5">
        <v>106</v>
      </c>
      <c r="J43" s="6">
        <f t="shared" si="0"/>
        <v>0.72602739726027399</v>
      </c>
      <c r="K43" s="5"/>
      <c r="L43" s="5"/>
      <c r="M43" s="5"/>
      <c r="N43" s="9">
        <v>20</v>
      </c>
      <c r="O43" s="46">
        <f t="shared" si="1"/>
        <v>0.18867924528301888</v>
      </c>
      <c r="P43" s="5">
        <v>3</v>
      </c>
      <c r="Q43" s="46">
        <f t="shared" ref="Q43" si="248">IFERROR(P43/$I43,"")</f>
        <v>2.8301886792452831E-2</v>
      </c>
      <c r="R43" s="5">
        <v>43</v>
      </c>
      <c r="S43" s="46">
        <f t="shared" ref="S43" si="249">IFERROR(R43/$I43,"")</f>
        <v>0.40566037735849059</v>
      </c>
      <c r="T43" s="5">
        <v>2</v>
      </c>
      <c r="U43" s="46">
        <f t="shared" ref="U43" si="250">IFERROR(T43/$I43,"")</f>
        <v>1.8867924528301886E-2</v>
      </c>
      <c r="V43" s="5">
        <v>27</v>
      </c>
      <c r="W43" s="46">
        <f t="shared" ref="W43" si="251">IFERROR(V43/$I43,"")</f>
        <v>0.25471698113207547</v>
      </c>
      <c r="X43" s="5">
        <v>19</v>
      </c>
      <c r="Y43" s="46">
        <f t="shared" ref="Y43" si="252">IFERROR(X43/$I43,"")</f>
        <v>0.17924528301886791</v>
      </c>
      <c r="Z43" s="5">
        <v>21</v>
      </c>
      <c r="AA43" s="46">
        <f t="shared" ref="AA43" si="253">IFERROR(Z43/$I43,"")</f>
        <v>0.19811320754716982</v>
      </c>
      <c r="AB43" s="5">
        <v>66</v>
      </c>
      <c r="AC43" s="46">
        <f t="shared" si="8"/>
        <v>0.45205479452054792</v>
      </c>
      <c r="AD43" s="5">
        <v>71</v>
      </c>
      <c r="AE43" s="5">
        <v>120959</v>
      </c>
      <c r="AF43" s="5">
        <f t="shared" si="9"/>
        <v>1832.7121212121212</v>
      </c>
      <c r="AG43" s="5">
        <v>0</v>
      </c>
      <c r="AH43" s="49">
        <f t="shared" si="10"/>
        <v>0</v>
      </c>
      <c r="AI43" s="5">
        <v>0</v>
      </c>
      <c r="AJ43" s="5">
        <v>12</v>
      </c>
      <c r="AK43" s="4">
        <v>30</v>
      </c>
      <c r="AL43" s="7">
        <v>27</v>
      </c>
      <c r="AM43" s="4">
        <v>2</v>
      </c>
      <c r="AN43" s="4">
        <v>1</v>
      </c>
      <c r="AO43" s="11">
        <f t="shared" si="11"/>
        <v>86.666666666666671</v>
      </c>
      <c r="AP43" s="50">
        <f t="shared" si="12"/>
        <v>0.20547945205479451</v>
      </c>
      <c r="AQ43" s="7">
        <v>10</v>
      </c>
      <c r="AR43" s="50">
        <f t="shared" si="13"/>
        <v>6.8493150684931503E-2</v>
      </c>
      <c r="AS43" s="4">
        <v>0</v>
      </c>
    </row>
    <row r="44" spans="1:45" ht="18" customHeight="1" x14ac:dyDescent="0.3">
      <c r="A44" s="4" t="s">
        <v>36</v>
      </c>
      <c r="B44" s="4" t="s">
        <v>4</v>
      </c>
      <c r="C44" s="4" t="s">
        <v>47</v>
      </c>
      <c r="D44" s="4" t="s">
        <v>50</v>
      </c>
      <c r="E44" s="4" t="s">
        <v>51</v>
      </c>
      <c r="F44" s="7" t="s">
        <v>48</v>
      </c>
      <c r="G44" s="4" t="s">
        <v>49</v>
      </c>
      <c r="H44" s="5">
        <v>185</v>
      </c>
      <c r="I44" s="5">
        <v>129</v>
      </c>
      <c r="J44" s="6">
        <f t="shared" si="0"/>
        <v>0.69729729729729728</v>
      </c>
      <c r="K44" s="5"/>
      <c r="L44" s="5"/>
      <c r="M44" s="5"/>
      <c r="N44" s="9">
        <v>12</v>
      </c>
      <c r="O44" s="46">
        <f t="shared" si="1"/>
        <v>9.3023255813953487E-2</v>
      </c>
      <c r="P44" s="5">
        <v>5</v>
      </c>
      <c r="Q44" s="46">
        <f t="shared" ref="Q44" si="254">IFERROR(P44/$I44,"")</f>
        <v>3.875968992248062E-2</v>
      </c>
      <c r="R44" s="5">
        <v>57</v>
      </c>
      <c r="S44" s="46">
        <f t="shared" ref="S44" si="255">IFERROR(R44/$I44,"")</f>
        <v>0.44186046511627908</v>
      </c>
      <c r="T44" s="5">
        <v>0</v>
      </c>
      <c r="U44" s="46">
        <f t="shared" ref="U44" si="256">IFERROR(T44/$I44,"")</f>
        <v>0</v>
      </c>
      <c r="V44" s="5">
        <v>34</v>
      </c>
      <c r="W44" s="46">
        <f t="shared" ref="W44" si="257">IFERROR(V44/$I44,"")</f>
        <v>0.26356589147286824</v>
      </c>
      <c r="X44" s="5">
        <v>38</v>
      </c>
      <c r="Y44" s="46">
        <f t="shared" ref="Y44" si="258">IFERROR(X44/$I44,"")</f>
        <v>0.29457364341085274</v>
      </c>
      <c r="Z44" s="5">
        <v>26</v>
      </c>
      <c r="AA44" s="46">
        <f t="shared" ref="AA44" si="259">IFERROR(Z44/$I44,"")</f>
        <v>0.20155038759689922</v>
      </c>
      <c r="AB44" s="5">
        <v>80</v>
      </c>
      <c r="AC44" s="46">
        <f t="shared" si="8"/>
        <v>0.43243243243243246</v>
      </c>
      <c r="AD44" s="5">
        <v>105</v>
      </c>
      <c r="AE44" s="5">
        <v>236742</v>
      </c>
      <c r="AF44" s="5">
        <f t="shared" si="9"/>
        <v>2959.2750000000001</v>
      </c>
      <c r="AG44" s="5">
        <v>0</v>
      </c>
      <c r="AH44" s="49">
        <f t="shared" si="10"/>
        <v>0</v>
      </c>
      <c r="AI44" s="5">
        <v>0</v>
      </c>
      <c r="AJ44" s="5">
        <v>25</v>
      </c>
      <c r="AK44" s="4">
        <v>29</v>
      </c>
      <c r="AL44" s="7">
        <v>25</v>
      </c>
      <c r="AM44" s="4">
        <v>3</v>
      </c>
      <c r="AN44" s="4">
        <v>1</v>
      </c>
      <c r="AO44" s="11">
        <f t="shared" si="11"/>
        <v>82.758620689655174</v>
      </c>
      <c r="AP44" s="50">
        <f t="shared" si="12"/>
        <v>0.15675675675675677</v>
      </c>
      <c r="AQ44" s="7">
        <v>14</v>
      </c>
      <c r="AR44" s="50">
        <f t="shared" si="13"/>
        <v>7.567567567567568E-2</v>
      </c>
      <c r="AS44" s="4">
        <v>0</v>
      </c>
    </row>
    <row r="45" spans="1:45" ht="18" customHeight="1" x14ac:dyDescent="0.3">
      <c r="A45" s="4" t="s">
        <v>36</v>
      </c>
      <c r="B45" s="4" t="s">
        <v>4</v>
      </c>
      <c r="C45" s="4" t="s">
        <v>47</v>
      </c>
      <c r="D45" s="4" t="s">
        <v>52</v>
      </c>
      <c r="E45" s="4" t="s">
        <v>53</v>
      </c>
      <c r="F45" s="7" t="s">
        <v>48</v>
      </c>
      <c r="G45" s="4" t="s">
        <v>54</v>
      </c>
      <c r="H45" s="5">
        <v>148</v>
      </c>
      <c r="I45" s="5">
        <v>114</v>
      </c>
      <c r="J45" s="6">
        <f t="shared" si="0"/>
        <v>0.77027027027027029</v>
      </c>
      <c r="K45" s="5"/>
      <c r="L45" s="5"/>
      <c r="M45" s="5"/>
      <c r="N45" s="9">
        <v>18</v>
      </c>
      <c r="O45" s="46">
        <f t="shared" si="1"/>
        <v>0.15789473684210525</v>
      </c>
      <c r="P45" s="5">
        <v>7</v>
      </c>
      <c r="Q45" s="46">
        <f t="shared" ref="Q45" si="260">IFERROR(P45/$I45,"")</f>
        <v>6.1403508771929821E-2</v>
      </c>
      <c r="R45" s="5">
        <v>57</v>
      </c>
      <c r="S45" s="46">
        <f t="shared" ref="S45" si="261">IFERROR(R45/$I45,"")</f>
        <v>0.5</v>
      </c>
      <c r="T45" s="5">
        <v>2</v>
      </c>
      <c r="U45" s="46">
        <f t="shared" ref="U45" si="262">IFERROR(T45/$I45,"")</f>
        <v>1.7543859649122806E-2</v>
      </c>
      <c r="V45" s="5">
        <v>19</v>
      </c>
      <c r="W45" s="46">
        <f t="shared" ref="W45" si="263">IFERROR(V45/$I45,"")</f>
        <v>0.16666666666666666</v>
      </c>
      <c r="X45" s="5">
        <v>33</v>
      </c>
      <c r="Y45" s="46">
        <f t="shared" ref="Y45" si="264">IFERROR(X45/$I45,"")</f>
        <v>0.28947368421052633</v>
      </c>
      <c r="Z45" s="5">
        <v>8</v>
      </c>
      <c r="AA45" s="46">
        <f t="shared" ref="AA45" si="265">IFERROR(Z45/$I45,"")</f>
        <v>7.0175438596491224E-2</v>
      </c>
      <c r="AB45" s="5">
        <v>71</v>
      </c>
      <c r="AC45" s="46">
        <f t="shared" si="8"/>
        <v>0.47972972972972971</v>
      </c>
      <c r="AD45" s="5">
        <v>97</v>
      </c>
      <c r="AE45" s="5">
        <v>189758</v>
      </c>
      <c r="AF45" s="5">
        <f t="shared" si="9"/>
        <v>2672.6478873239435</v>
      </c>
      <c r="AG45" s="5">
        <v>324</v>
      </c>
      <c r="AH45" s="49">
        <f t="shared" si="10"/>
        <v>2.8421052631578947</v>
      </c>
      <c r="AI45" s="5">
        <v>347</v>
      </c>
      <c r="AJ45" s="5">
        <v>34</v>
      </c>
      <c r="AK45" s="4">
        <v>38</v>
      </c>
      <c r="AL45" s="7">
        <v>36</v>
      </c>
      <c r="AM45" s="4">
        <v>1</v>
      </c>
      <c r="AN45" s="4">
        <v>1</v>
      </c>
      <c r="AO45" s="11">
        <f t="shared" si="11"/>
        <v>92.10526315789474</v>
      </c>
      <c r="AP45" s="50">
        <f t="shared" si="12"/>
        <v>0.25675675675675674</v>
      </c>
      <c r="AQ45" s="7">
        <v>2</v>
      </c>
      <c r="AR45" s="50">
        <f t="shared" si="13"/>
        <v>1.3513513513513514E-2</v>
      </c>
      <c r="AS45" s="4">
        <v>0</v>
      </c>
    </row>
    <row r="46" spans="1:45" ht="18" customHeight="1" x14ac:dyDescent="0.3">
      <c r="A46" s="4" t="s">
        <v>36</v>
      </c>
      <c r="B46" s="4" t="s">
        <v>4</v>
      </c>
      <c r="C46" s="4" t="s">
        <v>47</v>
      </c>
      <c r="D46" s="4" t="s">
        <v>55</v>
      </c>
      <c r="E46" s="4" t="s">
        <v>56</v>
      </c>
      <c r="F46" s="7" t="s">
        <v>48</v>
      </c>
      <c r="G46" s="4" t="s">
        <v>57</v>
      </c>
      <c r="H46" s="5">
        <v>154</v>
      </c>
      <c r="I46" s="5">
        <v>111</v>
      </c>
      <c r="J46" s="6">
        <f t="shared" si="0"/>
        <v>0.72077922077922074</v>
      </c>
      <c r="K46" s="5"/>
      <c r="L46" s="5"/>
      <c r="M46" s="5"/>
      <c r="N46" s="9">
        <v>13</v>
      </c>
      <c r="O46" s="46">
        <f t="shared" si="1"/>
        <v>0.11711711711711711</v>
      </c>
      <c r="P46" s="5">
        <v>12</v>
      </c>
      <c r="Q46" s="46">
        <f t="shared" ref="Q46" si="266">IFERROR(P46/$I46,"")</f>
        <v>0.10810810810810811</v>
      </c>
      <c r="R46" s="5">
        <v>62</v>
      </c>
      <c r="S46" s="46">
        <f t="shared" ref="S46" si="267">IFERROR(R46/$I46,"")</f>
        <v>0.55855855855855852</v>
      </c>
      <c r="T46" s="5">
        <v>1</v>
      </c>
      <c r="U46" s="46">
        <f t="shared" ref="U46" si="268">IFERROR(T46/$I46,"")</f>
        <v>9.0090090090090089E-3</v>
      </c>
      <c r="V46" s="5">
        <v>28</v>
      </c>
      <c r="W46" s="46">
        <f t="shared" ref="W46" si="269">IFERROR(V46/$I46,"")</f>
        <v>0.25225225225225223</v>
      </c>
      <c r="X46" s="5">
        <v>25</v>
      </c>
      <c r="Y46" s="46">
        <f t="shared" ref="Y46" si="270">IFERROR(X46/$I46,"")</f>
        <v>0.22522522522522523</v>
      </c>
      <c r="Z46" s="5">
        <v>21</v>
      </c>
      <c r="AA46" s="46">
        <f t="shared" ref="AA46" si="271">IFERROR(Z46/$I46,"")</f>
        <v>0.1891891891891892</v>
      </c>
      <c r="AB46" s="5">
        <v>78</v>
      </c>
      <c r="AC46" s="46">
        <f t="shared" si="8"/>
        <v>0.50649350649350644</v>
      </c>
      <c r="AD46" s="5">
        <v>117</v>
      </c>
      <c r="AE46" s="5">
        <v>191204.4</v>
      </c>
      <c r="AF46" s="5">
        <f t="shared" si="9"/>
        <v>2451.3384615384616</v>
      </c>
      <c r="AG46" s="5">
        <v>324</v>
      </c>
      <c r="AH46" s="49">
        <f t="shared" si="10"/>
        <v>2.9189189189189189</v>
      </c>
      <c r="AI46" s="5">
        <v>694</v>
      </c>
      <c r="AJ46" s="5">
        <v>9</v>
      </c>
      <c r="AK46" s="4">
        <v>23</v>
      </c>
      <c r="AL46" s="7">
        <v>17</v>
      </c>
      <c r="AM46" s="4">
        <v>5</v>
      </c>
      <c r="AN46" s="4">
        <v>1</v>
      </c>
      <c r="AO46" s="11">
        <f t="shared" si="11"/>
        <v>69.565217391304344</v>
      </c>
      <c r="AP46" s="50">
        <f t="shared" si="12"/>
        <v>0.14935064935064934</v>
      </c>
      <c r="AQ46" s="7">
        <v>9</v>
      </c>
      <c r="AR46" s="50">
        <f t="shared" si="13"/>
        <v>5.844155844155844E-2</v>
      </c>
      <c r="AS46" s="4">
        <v>0</v>
      </c>
    </row>
    <row r="47" spans="1:45" ht="18" customHeight="1" x14ac:dyDescent="0.3">
      <c r="A47" s="4" t="s">
        <v>36</v>
      </c>
      <c r="B47" s="4" t="s">
        <v>4</v>
      </c>
      <c r="C47" s="4" t="s">
        <v>47</v>
      </c>
      <c r="D47" s="4"/>
      <c r="E47" s="4" t="s">
        <v>146</v>
      </c>
      <c r="F47" s="7" t="s">
        <v>48</v>
      </c>
      <c r="G47" s="4" t="s">
        <v>61</v>
      </c>
      <c r="H47" s="5">
        <v>89</v>
      </c>
      <c r="I47" s="5">
        <v>83</v>
      </c>
      <c r="J47" s="6">
        <f t="shared" si="0"/>
        <v>0.93258426966292129</v>
      </c>
      <c r="K47" s="5"/>
      <c r="L47" s="5"/>
      <c r="M47" s="5"/>
      <c r="N47" s="10">
        <v>9</v>
      </c>
      <c r="O47" s="46">
        <f t="shared" si="1"/>
        <v>0.10843373493975904</v>
      </c>
      <c r="P47" s="5">
        <v>6</v>
      </c>
      <c r="Q47" s="46">
        <f t="shared" ref="Q47" si="272">IFERROR(P47/$I47,"")</f>
        <v>7.2289156626506021E-2</v>
      </c>
      <c r="R47" s="5">
        <v>31</v>
      </c>
      <c r="S47" s="46">
        <f t="shared" ref="S47" si="273">IFERROR(R47/$I47,"")</f>
        <v>0.37349397590361444</v>
      </c>
      <c r="T47" s="5">
        <v>0</v>
      </c>
      <c r="U47" s="46">
        <f t="shared" ref="U47" si="274">IFERROR(T47/$I47,"")</f>
        <v>0</v>
      </c>
      <c r="V47" s="5">
        <v>1</v>
      </c>
      <c r="W47" s="46">
        <f t="shared" ref="W47" si="275">IFERROR(V47/$I47,"")</f>
        <v>1.2048192771084338E-2</v>
      </c>
      <c r="X47" s="5">
        <v>2</v>
      </c>
      <c r="Y47" s="46">
        <f t="shared" ref="Y47" si="276">IFERROR(X47/$I47,"")</f>
        <v>2.4096385542168676E-2</v>
      </c>
      <c r="Z47" s="5">
        <v>2</v>
      </c>
      <c r="AA47" s="46">
        <f t="shared" ref="AA47" si="277">IFERROR(Z47/$I47,"")</f>
        <v>2.4096385542168676E-2</v>
      </c>
      <c r="AB47" s="5">
        <v>42</v>
      </c>
      <c r="AC47" s="46">
        <f t="shared" si="8"/>
        <v>0.47191011235955055</v>
      </c>
      <c r="AD47" s="5">
        <v>44</v>
      </c>
      <c r="AE47" s="5">
        <v>62578</v>
      </c>
      <c r="AF47" s="5">
        <f t="shared" si="9"/>
        <v>1489.952380952381</v>
      </c>
      <c r="AG47" s="5">
        <v>0</v>
      </c>
      <c r="AH47" s="49">
        <f t="shared" si="10"/>
        <v>0</v>
      </c>
      <c r="AI47" s="5">
        <v>0</v>
      </c>
      <c r="AJ47" s="5">
        <v>8</v>
      </c>
      <c r="AK47" s="4">
        <v>13</v>
      </c>
      <c r="AL47" s="7">
        <v>11</v>
      </c>
      <c r="AM47" s="4">
        <v>1</v>
      </c>
      <c r="AN47" s="4">
        <v>1</v>
      </c>
      <c r="AO47" s="11">
        <f t="shared" si="11"/>
        <v>76.923076923076934</v>
      </c>
      <c r="AP47" s="50">
        <f t="shared" si="12"/>
        <v>0.14606741573033707</v>
      </c>
      <c r="AQ47" s="7">
        <v>4</v>
      </c>
      <c r="AR47" s="50">
        <f t="shared" si="13"/>
        <v>4.49438202247191E-2</v>
      </c>
      <c r="AS47" s="4">
        <v>0</v>
      </c>
    </row>
    <row r="48" spans="1:45" ht="18" customHeight="1" x14ac:dyDescent="0.3">
      <c r="A48" s="4" t="s">
        <v>36</v>
      </c>
      <c r="B48" s="4" t="s">
        <v>4</v>
      </c>
      <c r="C48" s="4" t="s">
        <v>47</v>
      </c>
      <c r="D48" s="4" t="s">
        <v>63</v>
      </c>
      <c r="E48" s="4" t="s">
        <v>64</v>
      </c>
      <c r="F48" s="7" t="s">
        <v>48</v>
      </c>
      <c r="G48" s="4" t="s">
        <v>65</v>
      </c>
      <c r="H48" s="5">
        <v>191</v>
      </c>
      <c r="I48" s="5">
        <v>133</v>
      </c>
      <c r="J48" s="6">
        <f t="shared" si="0"/>
        <v>0.69633507853403143</v>
      </c>
      <c r="K48" s="5"/>
      <c r="L48" s="5"/>
      <c r="M48" s="5"/>
      <c r="N48" s="9">
        <v>8</v>
      </c>
      <c r="O48" s="46">
        <f t="shared" si="1"/>
        <v>6.0150375939849621E-2</v>
      </c>
      <c r="P48" s="5">
        <v>5</v>
      </c>
      <c r="Q48" s="46">
        <f t="shared" ref="Q48" si="278">IFERROR(P48/$I48,"")</f>
        <v>3.7593984962406013E-2</v>
      </c>
      <c r="R48" s="5">
        <v>50</v>
      </c>
      <c r="S48" s="46">
        <f t="shared" ref="S48" si="279">IFERROR(R48/$I48,"")</f>
        <v>0.37593984962406013</v>
      </c>
      <c r="T48" s="5">
        <v>0</v>
      </c>
      <c r="U48" s="46">
        <f t="shared" ref="U48" si="280">IFERROR(T48/$I48,"")</f>
        <v>0</v>
      </c>
      <c r="V48" s="5">
        <v>22</v>
      </c>
      <c r="W48" s="46">
        <f t="shared" ref="W48" si="281">IFERROR(V48/$I48,"")</f>
        <v>0.16541353383458646</v>
      </c>
      <c r="X48" s="5">
        <v>22</v>
      </c>
      <c r="Y48" s="46">
        <f t="shared" ref="Y48" si="282">IFERROR(X48/$I48,"")</f>
        <v>0.16541353383458646</v>
      </c>
      <c r="Z48" s="5">
        <v>14</v>
      </c>
      <c r="AA48" s="46">
        <f t="shared" ref="AA48" si="283">IFERROR(Z48/$I48,"")</f>
        <v>0.10526315789473684</v>
      </c>
      <c r="AB48" s="5">
        <v>63</v>
      </c>
      <c r="AC48" s="46">
        <f t="shared" si="8"/>
        <v>0.32984293193717279</v>
      </c>
      <c r="AD48" s="5">
        <v>82</v>
      </c>
      <c r="AE48" s="5">
        <v>122934</v>
      </c>
      <c r="AF48" s="5">
        <f t="shared" si="9"/>
        <v>1951.3333333333333</v>
      </c>
      <c r="AG48" s="5">
        <v>0</v>
      </c>
      <c r="AH48" s="49">
        <f t="shared" si="10"/>
        <v>0</v>
      </c>
      <c r="AI48" s="5">
        <v>0</v>
      </c>
      <c r="AJ48" s="5">
        <v>26</v>
      </c>
      <c r="AK48" s="4">
        <v>25</v>
      </c>
      <c r="AL48" s="7">
        <v>22</v>
      </c>
      <c r="AM48" s="4">
        <v>1</v>
      </c>
      <c r="AN48" s="4">
        <v>2</v>
      </c>
      <c r="AO48" s="11">
        <f t="shared" si="11"/>
        <v>80</v>
      </c>
      <c r="AP48" s="50">
        <f t="shared" si="12"/>
        <v>0.13089005235602094</v>
      </c>
      <c r="AQ48" s="7">
        <v>10</v>
      </c>
      <c r="AR48" s="50">
        <f t="shared" si="13"/>
        <v>5.2356020942408377E-2</v>
      </c>
      <c r="AS48" s="4">
        <v>0</v>
      </c>
    </row>
    <row r="49" spans="1:45" ht="18" customHeight="1" x14ac:dyDescent="0.3">
      <c r="A49" s="4" t="s">
        <v>36</v>
      </c>
      <c r="B49" s="4" t="s">
        <v>4</v>
      </c>
      <c r="C49" s="4" t="s">
        <v>47</v>
      </c>
      <c r="D49" s="4" t="s">
        <v>66</v>
      </c>
      <c r="E49" s="4" t="s">
        <v>67</v>
      </c>
      <c r="F49" s="7" t="s">
        <v>48</v>
      </c>
      <c r="G49" s="4" t="s">
        <v>65</v>
      </c>
      <c r="H49" s="5">
        <v>213</v>
      </c>
      <c r="I49" s="5">
        <v>158</v>
      </c>
      <c r="J49" s="6">
        <f t="shared" si="0"/>
        <v>0.74178403755868549</v>
      </c>
      <c r="K49" s="5"/>
      <c r="L49" s="5"/>
      <c r="M49" s="5"/>
      <c r="N49" s="9">
        <v>41</v>
      </c>
      <c r="O49" s="46">
        <f t="shared" si="1"/>
        <v>0.25949367088607594</v>
      </c>
      <c r="P49" s="5">
        <v>1</v>
      </c>
      <c r="Q49" s="46">
        <f t="shared" ref="Q49" si="284">IFERROR(P49/$I49,"")</f>
        <v>6.3291139240506328E-3</v>
      </c>
      <c r="R49" s="5">
        <v>50</v>
      </c>
      <c r="S49" s="46">
        <f t="shared" ref="S49" si="285">IFERROR(R49/$I49,"")</f>
        <v>0.31645569620253167</v>
      </c>
      <c r="T49" s="5">
        <v>1</v>
      </c>
      <c r="U49" s="46">
        <f t="shared" ref="U49" si="286">IFERROR(T49/$I49,"")</f>
        <v>6.3291139240506328E-3</v>
      </c>
      <c r="V49" s="5">
        <v>4</v>
      </c>
      <c r="W49" s="46">
        <f t="shared" ref="W49" si="287">IFERROR(V49/$I49,"")</f>
        <v>2.5316455696202531E-2</v>
      </c>
      <c r="X49" s="5">
        <v>19</v>
      </c>
      <c r="Y49" s="46">
        <f t="shared" ref="Y49" si="288">IFERROR(X49/$I49,"")</f>
        <v>0.12025316455696203</v>
      </c>
      <c r="Z49" s="5">
        <v>20</v>
      </c>
      <c r="AA49" s="46">
        <f t="shared" ref="AA49" si="289">IFERROR(Z49/$I49,"")</f>
        <v>0.12658227848101267</v>
      </c>
      <c r="AB49" s="5">
        <v>65</v>
      </c>
      <c r="AC49" s="46">
        <f t="shared" si="8"/>
        <v>0.30516431924882631</v>
      </c>
      <c r="AD49" s="5">
        <v>75</v>
      </c>
      <c r="AE49" s="5">
        <v>125969</v>
      </c>
      <c r="AF49" s="5">
        <f t="shared" si="9"/>
        <v>1937.9846153846154</v>
      </c>
      <c r="AG49" s="5">
        <v>1346</v>
      </c>
      <c r="AH49" s="49">
        <f t="shared" si="10"/>
        <v>8.5189873417721511</v>
      </c>
      <c r="AI49" s="5">
        <v>3533</v>
      </c>
      <c r="AJ49" s="5">
        <v>26</v>
      </c>
      <c r="AK49" s="4">
        <v>11</v>
      </c>
      <c r="AL49" s="7">
        <v>10</v>
      </c>
      <c r="AM49" s="4">
        <v>0</v>
      </c>
      <c r="AN49" s="4">
        <v>1</v>
      </c>
      <c r="AO49" s="11">
        <f t="shared" si="11"/>
        <v>81.818181818181827</v>
      </c>
      <c r="AP49" s="50">
        <f t="shared" si="12"/>
        <v>5.1643192488262914E-2</v>
      </c>
      <c r="AQ49" s="7">
        <v>3</v>
      </c>
      <c r="AR49" s="50">
        <f t="shared" si="13"/>
        <v>1.4084507042253521E-2</v>
      </c>
      <c r="AS49" s="4">
        <v>0</v>
      </c>
    </row>
    <row r="50" spans="1:45" ht="18" customHeight="1" x14ac:dyDescent="0.3">
      <c r="A50" s="4" t="s">
        <v>36</v>
      </c>
      <c r="B50" s="4" t="s">
        <v>4</v>
      </c>
      <c r="C50" s="4" t="s">
        <v>47</v>
      </c>
      <c r="D50" s="4" t="s">
        <v>68</v>
      </c>
      <c r="E50" s="4" t="s">
        <v>69</v>
      </c>
      <c r="F50" s="7" t="s">
        <v>48</v>
      </c>
      <c r="G50" s="4" t="s">
        <v>57</v>
      </c>
      <c r="H50" s="5">
        <v>169</v>
      </c>
      <c r="I50" s="5">
        <v>134</v>
      </c>
      <c r="J50" s="6">
        <f t="shared" si="0"/>
        <v>0.79289940828402372</v>
      </c>
      <c r="K50" s="5"/>
      <c r="L50" s="5"/>
      <c r="M50" s="5"/>
      <c r="N50" s="9">
        <v>10</v>
      </c>
      <c r="O50" s="46">
        <f t="shared" si="1"/>
        <v>7.4626865671641784E-2</v>
      </c>
      <c r="P50" s="5">
        <v>6</v>
      </c>
      <c r="Q50" s="46">
        <f t="shared" ref="Q50" si="290">IFERROR(P50/$I50,"")</f>
        <v>4.4776119402985072E-2</v>
      </c>
      <c r="R50" s="5">
        <v>48</v>
      </c>
      <c r="S50" s="46">
        <f t="shared" ref="S50" si="291">IFERROR(R50/$I50,"")</f>
        <v>0.35820895522388058</v>
      </c>
      <c r="T50" s="5">
        <v>2</v>
      </c>
      <c r="U50" s="46">
        <f t="shared" ref="U50" si="292">IFERROR(T50/$I50,"")</f>
        <v>1.4925373134328358E-2</v>
      </c>
      <c r="V50" s="5">
        <v>12</v>
      </c>
      <c r="W50" s="46">
        <f t="shared" ref="W50" si="293">IFERROR(V50/$I50,"")</f>
        <v>8.9552238805970144E-2</v>
      </c>
      <c r="X50" s="5">
        <v>24</v>
      </c>
      <c r="Y50" s="46">
        <f t="shared" ref="Y50" si="294">IFERROR(X50/$I50,"")</f>
        <v>0.17910447761194029</v>
      </c>
      <c r="Z50" s="5">
        <v>3</v>
      </c>
      <c r="AA50" s="46">
        <f t="shared" ref="AA50" si="295">IFERROR(Z50/$I50,"")</f>
        <v>2.2388059701492536E-2</v>
      </c>
      <c r="AB50" s="5">
        <v>85</v>
      </c>
      <c r="AC50" s="46">
        <f t="shared" si="8"/>
        <v>0.50295857988165682</v>
      </c>
      <c r="AD50" s="5">
        <v>97</v>
      </c>
      <c r="AE50" s="5">
        <v>161481</v>
      </c>
      <c r="AF50" s="5">
        <f t="shared" si="9"/>
        <v>1899.7764705882353</v>
      </c>
      <c r="AG50" s="5">
        <v>774</v>
      </c>
      <c r="AH50" s="49">
        <f t="shared" si="10"/>
        <v>5.7761194029850742</v>
      </c>
      <c r="AI50" s="5">
        <v>0</v>
      </c>
      <c r="AJ50" s="5">
        <v>16</v>
      </c>
      <c r="AK50" s="4">
        <v>23</v>
      </c>
      <c r="AL50" s="7">
        <v>22</v>
      </c>
      <c r="AM50" s="4">
        <v>1</v>
      </c>
      <c r="AN50" s="4">
        <v>0</v>
      </c>
      <c r="AO50" s="11">
        <f t="shared" si="11"/>
        <v>95.652173913043484</v>
      </c>
      <c r="AP50" s="50">
        <f t="shared" si="12"/>
        <v>0.13609467455621302</v>
      </c>
      <c r="AQ50" s="7">
        <v>6</v>
      </c>
      <c r="AR50" s="50">
        <f t="shared" si="13"/>
        <v>3.5502958579881658E-2</v>
      </c>
      <c r="AS50" s="4">
        <v>0</v>
      </c>
    </row>
    <row r="51" spans="1:45" ht="18" customHeight="1" x14ac:dyDescent="0.3">
      <c r="A51" s="4" t="s">
        <v>36</v>
      </c>
      <c r="B51" s="4" t="s">
        <v>4</v>
      </c>
      <c r="C51" s="4" t="s">
        <v>47</v>
      </c>
      <c r="D51" s="4"/>
      <c r="E51" s="4" t="s">
        <v>75</v>
      </c>
      <c r="F51" s="7" t="s">
        <v>48</v>
      </c>
      <c r="G51" s="4" t="s">
        <v>61</v>
      </c>
      <c r="H51" s="5">
        <v>71</v>
      </c>
      <c r="I51" s="5">
        <v>65</v>
      </c>
      <c r="J51" s="6">
        <f t="shared" si="0"/>
        <v>0.91549295774647887</v>
      </c>
      <c r="K51" s="5"/>
      <c r="L51" s="5"/>
      <c r="M51" s="5"/>
      <c r="N51" s="9">
        <v>1</v>
      </c>
      <c r="O51" s="46">
        <f t="shared" si="1"/>
        <v>1.5384615384615385E-2</v>
      </c>
      <c r="P51" s="5">
        <v>3</v>
      </c>
      <c r="Q51" s="46">
        <f t="shared" ref="Q51" si="296">IFERROR(P51/$I51,"")</f>
        <v>4.6153846153846156E-2</v>
      </c>
      <c r="R51" s="5">
        <v>24</v>
      </c>
      <c r="S51" s="46">
        <f t="shared" ref="S51" si="297">IFERROR(R51/$I51,"")</f>
        <v>0.36923076923076925</v>
      </c>
      <c r="T51" s="5">
        <v>0</v>
      </c>
      <c r="U51" s="46">
        <f t="shared" ref="U51" si="298">IFERROR(T51/$I51,"")</f>
        <v>0</v>
      </c>
      <c r="V51" s="5">
        <v>1</v>
      </c>
      <c r="W51" s="46">
        <f t="shared" ref="W51" si="299">IFERROR(V51/$I51,"")</f>
        <v>1.5384615384615385E-2</v>
      </c>
      <c r="X51" s="5">
        <v>2</v>
      </c>
      <c r="Y51" s="46">
        <f t="shared" ref="Y51" si="300">IFERROR(X51/$I51,"")</f>
        <v>3.0769230769230771E-2</v>
      </c>
      <c r="Z51" s="5">
        <v>0</v>
      </c>
      <c r="AA51" s="46">
        <f t="shared" ref="AA51" si="301">IFERROR(Z51/$I51,"")</f>
        <v>0</v>
      </c>
      <c r="AB51" s="5">
        <v>32</v>
      </c>
      <c r="AC51" s="46">
        <f t="shared" si="8"/>
        <v>0.45070422535211269</v>
      </c>
      <c r="AD51" s="5">
        <v>32</v>
      </c>
      <c r="AE51" s="5">
        <v>72983</v>
      </c>
      <c r="AF51" s="5">
        <f t="shared" si="9"/>
        <v>2280.71875</v>
      </c>
      <c r="AG51" s="5">
        <v>324</v>
      </c>
      <c r="AH51" s="49">
        <f t="shared" si="10"/>
        <v>4.9846153846153847</v>
      </c>
      <c r="AI51" s="5">
        <v>0</v>
      </c>
      <c r="AJ51" s="5">
        <v>8</v>
      </c>
      <c r="AK51" s="4">
        <v>14</v>
      </c>
      <c r="AL51" s="7">
        <v>12</v>
      </c>
      <c r="AM51" s="4">
        <v>1</v>
      </c>
      <c r="AN51" s="4">
        <v>1</v>
      </c>
      <c r="AO51" s="11">
        <f t="shared" si="11"/>
        <v>78.571428571428569</v>
      </c>
      <c r="AP51" s="50">
        <f t="shared" si="12"/>
        <v>0.19718309859154928</v>
      </c>
      <c r="AQ51" s="7">
        <v>2</v>
      </c>
      <c r="AR51" s="50">
        <f t="shared" si="13"/>
        <v>2.8169014084507043E-2</v>
      </c>
      <c r="AS51" s="4">
        <v>0</v>
      </c>
    </row>
    <row r="52" spans="1:45" ht="18" customHeight="1" x14ac:dyDescent="0.3">
      <c r="A52" s="4" t="s">
        <v>36</v>
      </c>
      <c r="B52" s="4" t="s">
        <v>4</v>
      </c>
      <c r="C52" s="4" t="s">
        <v>47</v>
      </c>
      <c r="D52" s="4"/>
      <c r="E52" s="4" t="s">
        <v>147</v>
      </c>
      <c r="F52" s="7" t="s">
        <v>48</v>
      </c>
      <c r="G52" s="4" t="s">
        <v>61</v>
      </c>
      <c r="H52" s="5">
        <v>29</v>
      </c>
      <c r="I52" s="5">
        <v>27</v>
      </c>
      <c r="J52" s="6">
        <f t="shared" si="0"/>
        <v>0.93103448275862066</v>
      </c>
      <c r="K52" s="5"/>
      <c r="L52" s="5"/>
      <c r="M52" s="5"/>
      <c r="N52" s="10">
        <v>0</v>
      </c>
      <c r="O52" s="46">
        <f t="shared" si="1"/>
        <v>0</v>
      </c>
      <c r="P52" s="5">
        <v>3</v>
      </c>
      <c r="Q52" s="46">
        <f t="shared" ref="Q52" si="302">IFERROR(P52/$I52,"")</f>
        <v>0.1111111111111111</v>
      </c>
      <c r="R52" s="5">
        <v>13</v>
      </c>
      <c r="S52" s="46">
        <f t="shared" ref="S52" si="303">IFERROR(R52/$I52,"")</f>
        <v>0.48148148148148145</v>
      </c>
      <c r="T52" s="5">
        <v>0</v>
      </c>
      <c r="U52" s="46">
        <f t="shared" ref="U52" si="304">IFERROR(T52/$I52,"")</f>
        <v>0</v>
      </c>
      <c r="V52" s="5">
        <v>0</v>
      </c>
      <c r="W52" s="46">
        <f t="shared" ref="W52" si="305">IFERROR(V52/$I52,"")</f>
        <v>0</v>
      </c>
      <c r="X52" s="5">
        <v>0</v>
      </c>
      <c r="Y52" s="46">
        <f t="shared" ref="Y52" si="306">IFERROR(X52/$I52,"")</f>
        <v>0</v>
      </c>
      <c r="Z52" s="5">
        <v>0</v>
      </c>
      <c r="AA52" s="46">
        <f t="shared" ref="AA52" si="307">IFERROR(Z52/$I52,"")</f>
        <v>0</v>
      </c>
      <c r="AB52" s="5">
        <v>14</v>
      </c>
      <c r="AC52" s="46">
        <f t="shared" si="8"/>
        <v>0.48275862068965519</v>
      </c>
      <c r="AD52" s="5">
        <v>15</v>
      </c>
      <c r="AE52" s="5">
        <v>18844</v>
      </c>
      <c r="AF52" s="5">
        <f t="shared" si="9"/>
        <v>1346</v>
      </c>
      <c r="AG52" s="5">
        <v>0</v>
      </c>
      <c r="AH52" s="49">
        <f t="shared" si="10"/>
        <v>0</v>
      </c>
      <c r="AI52" s="5">
        <v>0</v>
      </c>
      <c r="AJ52" s="5">
        <v>5</v>
      </c>
      <c r="AK52" s="4">
        <v>1</v>
      </c>
      <c r="AL52" s="7">
        <v>1</v>
      </c>
      <c r="AM52" s="4">
        <v>0</v>
      </c>
      <c r="AN52" s="4">
        <v>0</v>
      </c>
      <c r="AO52" s="11">
        <f t="shared" si="11"/>
        <v>100</v>
      </c>
      <c r="AP52" s="50">
        <f t="shared" si="12"/>
        <v>3.4482758620689655E-2</v>
      </c>
      <c r="AQ52" s="7">
        <v>3</v>
      </c>
      <c r="AR52" s="50">
        <f t="shared" si="13"/>
        <v>0.10344827586206896</v>
      </c>
      <c r="AS52" s="4">
        <v>0</v>
      </c>
    </row>
    <row r="53" spans="1:45" ht="18" customHeight="1" x14ac:dyDescent="0.3">
      <c r="A53" s="4" t="s">
        <v>36</v>
      </c>
      <c r="B53" s="4" t="s">
        <v>4</v>
      </c>
      <c r="C53" s="4" t="s">
        <v>47</v>
      </c>
      <c r="D53" s="4"/>
      <c r="E53" s="4" t="s">
        <v>60</v>
      </c>
      <c r="F53" s="7" t="s">
        <v>48</v>
      </c>
      <c r="G53" s="4" t="s">
        <v>61</v>
      </c>
      <c r="H53" s="5">
        <v>125</v>
      </c>
      <c r="I53" s="5">
        <v>116</v>
      </c>
      <c r="J53" s="6">
        <f t="shared" si="0"/>
        <v>0.92800000000000005</v>
      </c>
      <c r="K53" s="5"/>
      <c r="L53" s="5"/>
      <c r="M53" s="5"/>
      <c r="N53" s="9">
        <v>1</v>
      </c>
      <c r="O53" s="46">
        <f t="shared" si="1"/>
        <v>8.6206896551724137E-3</v>
      </c>
      <c r="P53" s="5">
        <v>12</v>
      </c>
      <c r="Q53" s="46">
        <f t="shared" ref="Q53" si="308">IFERROR(P53/$I53,"")</f>
        <v>0.10344827586206896</v>
      </c>
      <c r="R53" s="5">
        <v>67</v>
      </c>
      <c r="S53" s="46">
        <f t="shared" ref="S53" si="309">IFERROR(R53/$I53,"")</f>
        <v>0.57758620689655171</v>
      </c>
      <c r="T53" s="5">
        <v>1</v>
      </c>
      <c r="U53" s="46">
        <f t="shared" ref="U53" si="310">IFERROR(T53/$I53,"")</f>
        <v>8.6206896551724137E-3</v>
      </c>
      <c r="V53" s="5">
        <v>13</v>
      </c>
      <c r="W53" s="46">
        <f t="shared" ref="W53" si="311">IFERROR(V53/$I53,"")</f>
        <v>0.11206896551724138</v>
      </c>
      <c r="X53" s="5">
        <v>11</v>
      </c>
      <c r="Y53" s="46">
        <f t="shared" ref="Y53" si="312">IFERROR(X53/$I53,"")</f>
        <v>9.4827586206896547E-2</v>
      </c>
      <c r="Z53" s="5">
        <v>12</v>
      </c>
      <c r="AA53" s="46">
        <f t="shared" ref="AA53" si="313">IFERROR(Z53/$I53,"")</f>
        <v>0.10344827586206896</v>
      </c>
      <c r="AB53" s="5">
        <v>79</v>
      </c>
      <c r="AC53" s="46">
        <f t="shared" si="8"/>
        <v>0.63200000000000001</v>
      </c>
      <c r="AD53" s="5">
        <v>84</v>
      </c>
      <c r="AE53" s="5">
        <v>114244</v>
      </c>
      <c r="AF53" s="5">
        <f t="shared" si="9"/>
        <v>1446.126582278481</v>
      </c>
      <c r="AG53" s="5">
        <v>0</v>
      </c>
      <c r="AH53" s="49">
        <f t="shared" si="10"/>
        <v>0</v>
      </c>
      <c r="AI53" s="5">
        <v>0</v>
      </c>
      <c r="AJ53" s="5">
        <v>11</v>
      </c>
      <c r="AK53" s="4">
        <v>20</v>
      </c>
      <c r="AL53" s="7">
        <v>13</v>
      </c>
      <c r="AM53" s="4">
        <v>5</v>
      </c>
      <c r="AN53" s="4">
        <v>2</v>
      </c>
      <c r="AO53" s="11">
        <f t="shared" si="11"/>
        <v>55.000000000000007</v>
      </c>
      <c r="AP53" s="50">
        <f t="shared" si="12"/>
        <v>0.16</v>
      </c>
      <c r="AQ53" s="7">
        <v>3</v>
      </c>
      <c r="AR53" s="50">
        <f t="shared" si="13"/>
        <v>2.4E-2</v>
      </c>
      <c r="AS53" s="4">
        <v>0</v>
      </c>
    </row>
    <row r="54" spans="1:45" ht="18" customHeight="1" x14ac:dyDescent="0.3">
      <c r="A54" s="4" t="s">
        <v>36</v>
      </c>
      <c r="B54" s="4" t="s">
        <v>4</v>
      </c>
      <c r="C54" s="4" t="s">
        <v>47</v>
      </c>
      <c r="D54" s="4" t="s">
        <v>70</v>
      </c>
      <c r="E54" s="4" t="s">
        <v>71</v>
      </c>
      <c r="F54" s="7" t="s">
        <v>48</v>
      </c>
      <c r="G54" s="4" t="s">
        <v>72</v>
      </c>
      <c r="H54" s="5">
        <v>207</v>
      </c>
      <c r="I54" s="5">
        <v>172</v>
      </c>
      <c r="J54" s="6">
        <f t="shared" si="0"/>
        <v>0.83091787439613529</v>
      </c>
      <c r="K54" s="5"/>
      <c r="L54" s="5"/>
      <c r="M54" s="5"/>
      <c r="N54" s="9">
        <v>14</v>
      </c>
      <c r="O54" s="46">
        <f t="shared" si="1"/>
        <v>8.1395348837209308E-2</v>
      </c>
      <c r="P54" s="5">
        <v>4</v>
      </c>
      <c r="Q54" s="46">
        <f t="shared" ref="Q54" si="314">IFERROR(P54/$I54,"")</f>
        <v>2.3255813953488372E-2</v>
      </c>
      <c r="R54" s="5">
        <v>85</v>
      </c>
      <c r="S54" s="46">
        <f t="shared" ref="S54" si="315">IFERROR(R54/$I54,"")</f>
        <v>0.4941860465116279</v>
      </c>
      <c r="T54" s="5">
        <v>4</v>
      </c>
      <c r="U54" s="46">
        <f t="shared" ref="U54" si="316">IFERROR(T54/$I54,"")</f>
        <v>2.3255813953488372E-2</v>
      </c>
      <c r="V54" s="5">
        <v>48</v>
      </c>
      <c r="W54" s="46">
        <f t="shared" ref="W54" si="317">IFERROR(V54/$I54,"")</f>
        <v>0.27906976744186046</v>
      </c>
      <c r="X54" s="5">
        <v>45</v>
      </c>
      <c r="Y54" s="46">
        <f t="shared" ref="Y54" si="318">IFERROR(X54/$I54,"")</f>
        <v>0.26162790697674421</v>
      </c>
      <c r="Z54" s="5">
        <v>32</v>
      </c>
      <c r="AA54" s="46">
        <f t="shared" ref="AA54" si="319">IFERROR(Z54/$I54,"")</f>
        <v>0.18604651162790697</v>
      </c>
      <c r="AB54" s="5">
        <v>129</v>
      </c>
      <c r="AC54" s="46">
        <f t="shared" si="8"/>
        <v>0.62318840579710144</v>
      </c>
      <c r="AD54" s="5">
        <v>154</v>
      </c>
      <c r="AE54" s="5">
        <v>259304</v>
      </c>
      <c r="AF54" s="5">
        <f t="shared" si="9"/>
        <v>2010.1085271317829</v>
      </c>
      <c r="AG54" s="5">
        <v>450</v>
      </c>
      <c r="AH54" s="49">
        <f t="shared" si="10"/>
        <v>2.6162790697674421</v>
      </c>
      <c r="AI54" s="5">
        <v>0</v>
      </c>
      <c r="AJ54" s="5">
        <v>24</v>
      </c>
      <c r="AK54" s="4">
        <v>36</v>
      </c>
      <c r="AL54" s="7">
        <v>31</v>
      </c>
      <c r="AM54" s="4">
        <v>1</v>
      </c>
      <c r="AN54" s="4">
        <v>4</v>
      </c>
      <c r="AO54" s="11">
        <f t="shared" si="11"/>
        <v>75</v>
      </c>
      <c r="AP54" s="50">
        <f t="shared" si="12"/>
        <v>0.17391304347826086</v>
      </c>
      <c r="AQ54" s="7">
        <v>7</v>
      </c>
      <c r="AR54" s="50">
        <f t="shared" si="13"/>
        <v>3.3816425120772944E-2</v>
      </c>
      <c r="AS54" s="4">
        <v>0</v>
      </c>
    </row>
    <row r="55" spans="1:45" ht="18" customHeight="1" x14ac:dyDescent="0.3">
      <c r="A55" s="4" t="s">
        <v>36</v>
      </c>
      <c r="B55" s="4" t="s">
        <v>4</v>
      </c>
      <c r="C55" s="4" t="s">
        <v>47</v>
      </c>
      <c r="D55" s="4"/>
      <c r="E55" s="4" t="s">
        <v>62</v>
      </c>
      <c r="F55" s="7" t="s">
        <v>48</v>
      </c>
      <c r="G55" s="4" t="s">
        <v>61</v>
      </c>
      <c r="H55" s="5">
        <v>122</v>
      </c>
      <c r="I55" s="5">
        <v>114</v>
      </c>
      <c r="J55" s="6">
        <f t="shared" si="0"/>
        <v>0.93442622950819676</v>
      </c>
      <c r="K55" s="5"/>
      <c r="L55" s="5"/>
      <c r="M55" s="5"/>
      <c r="N55" s="9">
        <v>8</v>
      </c>
      <c r="O55" s="46">
        <f t="shared" si="1"/>
        <v>7.0175438596491224E-2</v>
      </c>
      <c r="P55" s="5">
        <v>4</v>
      </c>
      <c r="Q55" s="46">
        <f t="shared" ref="Q55" si="320">IFERROR(P55/$I55,"")</f>
        <v>3.5087719298245612E-2</v>
      </c>
      <c r="R55" s="5">
        <v>46</v>
      </c>
      <c r="S55" s="46">
        <f t="shared" ref="S55" si="321">IFERROR(R55/$I55,"")</f>
        <v>0.40350877192982454</v>
      </c>
      <c r="T55" s="5">
        <v>0</v>
      </c>
      <c r="U55" s="46">
        <f t="shared" ref="U55" si="322">IFERROR(T55/$I55,"")</f>
        <v>0</v>
      </c>
      <c r="V55" s="5">
        <v>20</v>
      </c>
      <c r="W55" s="46">
        <f t="shared" ref="W55" si="323">IFERROR(V55/$I55,"")</f>
        <v>0.17543859649122806</v>
      </c>
      <c r="X55" s="5">
        <v>21</v>
      </c>
      <c r="Y55" s="46">
        <f t="shared" ref="Y55" si="324">IFERROR(X55/$I55,"")</f>
        <v>0.18421052631578946</v>
      </c>
      <c r="Z55" s="5">
        <v>5</v>
      </c>
      <c r="AA55" s="46">
        <f t="shared" ref="AA55" si="325">IFERROR(Z55/$I55,"")</f>
        <v>4.3859649122807015E-2</v>
      </c>
      <c r="AB55" s="5">
        <v>74</v>
      </c>
      <c r="AC55" s="46">
        <f t="shared" si="8"/>
        <v>0.60655737704918034</v>
      </c>
      <c r="AD55" s="5">
        <v>81</v>
      </c>
      <c r="AE55" s="5">
        <v>139003</v>
      </c>
      <c r="AF55" s="5">
        <f t="shared" si="9"/>
        <v>1878.418918918919</v>
      </c>
      <c r="AG55" s="5">
        <v>0</v>
      </c>
      <c r="AH55" s="49">
        <f t="shared" si="10"/>
        <v>0</v>
      </c>
      <c r="AI55" s="5">
        <v>14133</v>
      </c>
      <c r="AJ55" s="5">
        <v>10</v>
      </c>
      <c r="AK55" s="4">
        <v>15</v>
      </c>
      <c r="AL55" s="7">
        <v>9</v>
      </c>
      <c r="AM55" s="4">
        <v>3</v>
      </c>
      <c r="AN55" s="4">
        <v>3</v>
      </c>
      <c r="AO55" s="11">
        <f t="shared" si="11"/>
        <v>40</v>
      </c>
      <c r="AP55" s="50">
        <f t="shared" si="12"/>
        <v>0.12295081967213115</v>
      </c>
      <c r="AQ55" s="7">
        <v>13</v>
      </c>
      <c r="AR55" s="50">
        <f t="shared" si="13"/>
        <v>0.10655737704918032</v>
      </c>
      <c r="AS55" s="4">
        <v>0</v>
      </c>
    </row>
    <row r="56" spans="1:45" ht="18" customHeight="1" x14ac:dyDescent="0.3">
      <c r="A56" s="4" t="s">
        <v>36</v>
      </c>
      <c r="B56" s="4" t="s">
        <v>4</v>
      </c>
      <c r="C56" s="4" t="s">
        <v>47</v>
      </c>
      <c r="D56" s="4" t="s">
        <v>58</v>
      </c>
      <c r="E56" s="4" t="s">
        <v>59</v>
      </c>
      <c r="F56" s="7" t="s">
        <v>48</v>
      </c>
      <c r="G56" s="4" t="s">
        <v>57</v>
      </c>
      <c r="H56" s="5">
        <v>216</v>
      </c>
      <c r="I56" s="5">
        <v>171</v>
      </c>
      <c r="J56" s="6">
        <f t="shared" si="0"/>
        <v>0.79166666666666663</v>
      </c>
      <c r="K56" s="5"/>
      <c r="L56" s="5"/>
      <c r="M56" s="5"/>
      <c r="N56" s="9">
        <v>28</v>
      </c>
      <c r="O56" s="46">
        <f t="shared" si="1"/>
        <v>0.16374269005847952</v>
      </c>
      <c r="P56" s="5">
        <v>5</v>
      </c>
      <c r="Q56" s="46">
        <f t="shared" ref="Q56" si="326">IFERROR(P56/$I56,"")</f>
        <v>2.9239766081871343E-2</v>
      </c>
      <c r="R56" s="5">
        <v>71</v>
      </c>
      <c r="S56" s="46">
        <f t="shared" ref="S56" si="327">IFERROR(R56/$I56,"")</f>
        <v>0.41520467836257308</v>
      </c>
      <c r="T56" s="5">
        <v>1</v>
      </c>
      <c r="U56" s="46">
        <f t="shared" ref="U56" si="328">IFERROR(T56/$I56,"")</f>
        <v>5.8479532163742687E-3</v>
      </c>
      <c r="V56" s="5">
        <v>22</v>
      </c>
      <c r="W56" s="46">
        <f t="shared" ref="W56" si="329">IFERROR(V56/$I56,"")</f>
        <v>0.12865497076023391</v>
      </c>
      <c r="X56" s="5">
        <v>23</v>
      </c>
      <c r="Y56" s="46">
        <f t="shared" ref="Y56" si="330">IFERROR(X56/$I56,"")</f>
        <v>0.13450292397660818</v>
      </c>
      <c r="Z56" s="5">
        <v>11</v>
      </c>
      <c r="AA56" s="46">
        <f t="shared" ref="AA56" si="331">IFERROR(Z56/$I56,"")</f>
        <v>6.4327485380116955E-2</v>
      </c>
      <c r="AB56" s="5">
        <v>104</v>
      </c>
      <c r="AC56" s="46">
        <f t="shared" si="8"/>
        <v>0.48148148148148145</v>
      </c>
      <c r="AD56" s="5">
        <v>113</v>
      </c>
      <c r="AE56" s="5">
        <v>205149</v>
      </c>
      <c r="AF56" s="5">
        <f t="shared" si="9"/>
        <v>1972.5865384615386</v>
      </c>
      <c r="AG56" s="5">
        <v>648</v>
      </c>
      <c r="AH56" s="49">
        <f t="shared" si="10"/>
        <v>3.7894736842105261</v>
      </c>
      <c r="AI56" s="5">
        <v>0</v>
      </c>
      <c r="AJ56" s="5">
        <v>31</v>
      </c>
      <c r="AK56" s="4">
        <v>21</v>
      </c>
      <c r="AL56" s="7">
        <v>18</v>
      </c>
      <c r="AM56" s="4">
        <v>1</v>
      </c>
      <c r="AN56" s="4">
        <v>2</v>
      </c>
      <c r="AO56" s="11">
        <f t="shared" si="11"/>
        <v>76.19047619047619</v>
      </c>
      <c r="AP56" s="50">
        <f t="shared" si="12"/>
        <v>9.7222222222222224E-2</v>
      </c>
      <c r="AQ56" s="7">
        <v>10</v>
      </c>
      <c r="AR56" s="50">
        <f t="shared" si="13"/>
        <v>4.6296296296296294E-2</v>
      </c>
      <c r="AS56" s="4">
        <v>0</v>
      </c>
    </row>
    <row r="57" spans="1:45" ht="18" customHeight="1" x14ac:dyDescent="0.3">
      <c r="A57" s="4" t="s">
        <v>36</v>
      </c>
      <c r="B57" s="4" t="s">
        <v>76</v>
      </c>
      <c r="C57" s="4" t="s">
        <v>47</v>
      </c>
      <c r="D57" s="4"/>
      <c r="E57" s="4" t="s">
        <v>77</v>
      </c>
      <c r="F57" s="7" t="s">
        <v>48</v>
      </c>
      <c r="G57" s="4"/>
      <c r="H57" s="5">
        <v>81</v>
      </c>
      <c r="I57" s="5">
        <v>65</v>
      </c>
      <c r="J57" s="6">
        <f t="shared" si="0"/>
        <v>0.80246913580246915</v>
      </c>
      <c r="K57" s="5"/>
      <c r="L57" s="5"/>
      <c r="M57" s="5"/>
      <c r="N57" s="9">
        <v>0</v>
      </c>
      <c r="O57" s="46">
        <f t="shared" si="1"/>
        <v>0</v>
      </c>
      <c r="P57" s="5">
        <v>0</v>
      </c>
      <c r="Q57" s="46">
        <f t="shared" ref="Q57" si="332">IFERROR(P57/$I57,"")</f>
        <v>0</v>
      </c>
      <c r="R57" s="5">
        <v>25</v>
      </c>
      <c r="S57" s="46">
        <f t="shared" ref="S57" si="333">IFERROR(R57/$I57,"")</f>
        <v>0.38461538461538464</v>
      </c>
      <c r="T57" s="5">
        <v>0</v>
      </c>
      <c r="U57" s="46">
        <f t="shared" ref="U57" si="334">IFERROR(T57/$I57,"")</f>
        <v>0</v>
      </c>
      <c r="V57" s="5">
        <v>10</v>
      </c>
      <c r="W57" s="46">
        <f t="shared" ref="W57" si="335">IFERROR(V57/$I57,"")</f>
        <v>0.15384615384615385</v>
      </c>
      <c r="X57" s="5">
        <v>10</v>
      </c>
      <c r="Y57" s="46">
        <f t="shared" ref="Y57" si="336">IFERROR(X57/$I57,"")</f>
        <v>0.15384615384615385</v>
      </c>
      <c r="Z57" s="5">
        <v>0</v>
      </c>
      <c r="AA57" s="46">
        <f t="shared" ref="AA57" si="337">IFERROR(Z57/$I57,"")</f>
        <v>0</v>
      </c>
      <c r="AB57" s="5">
        <v>31</v>
      </c>
      <c r="AC57" s="46">
        <f t="shared" si="8"/>
        <v>0.38271604938271603</v>
      </c>
      <c r="AD57" s="5">
        <v>31</v>
      </c>
      <c r="AE57" s="5">
        <v>35741</v>
      </c>
      <c r="AF57" s="5">
        <f t="shared" si="9"/>
        <v>1152.9354838709678</v>
      </c>
      <c r="AG57" s="5">
        <v>0</v>
      </c>
      <c r="AH57" s="49">
        <f t="shared" si="10"/>
        <v>0</v>
      </c>
      <c r="AI57" s="5">
        <v>0</v>
      </c>
      <c r="AJ57" s="5">
        <v>0</v>
      </c>
      <c r="AK57" s="4">
        <v>19</v>
      </c>
      <c r="AL57" s="7">
        <v>19</v>
      </c>
      <c r="AM57" s="4">
        <v>0</v>
      </c>
      <c r="AN57" s="4">
        <v>0</v>
      </c>
      <c r="AO57" s="11">
        <f t="shared" si="11"/>
        <v>100</v>
      </c>
      <c r="AP57" s="50">
        <f t="shared" si="12"/>
        <v>0.23456790123456789</v>
      </c>
      <c r="AQ57" s="7">
        <v>2</v>
      </c>
      <c r="AR57" s="50">
        <f t="shared" si="13"/>
        <v>2.4691358024691357E-2</v>
      </c>
      <c r="AS57" s="4">
        <v>0</v>
      </c>
    </row>
    <row r="58" spans="1:45" ht="18" customHeight="1" x14ac:dyDescent="0.3">
      <c r="A58" s="4" t="s">
        <v>36</v>
      </c>
      <c r="B58" s="4" t="s">
        <v>78</v>
      </c>
      <c r="C58" s="4" t="s">
        <v>47</v>
      </c>
      <c r="D58" s="4" t="s">
        <v>79</v>
      </c>
      <c r="E58" s="4" t="s">
        <v>80</v>
      </c>
      <c r="F58" s="7" t="s">
        <v>48</v>
      </c>
      <c r="G58" s="4" t="s">
        <v>81</v>
      </c>
      <c r="H58" s="5">
        <v>117</v>
      </c>
      <c r="I58" s="5">
        <v>93</v>
      </c>
      <c r="J58" s="6">
        <f t="shared" si="0"/>
        <v>0.79487179487179482</v>
      </c>
      <c r="K58" s="5"/>
      <c r="L58" s="5"/>
      <c r="M58" s="5"/>
      <c r="N58" s="9">
        <v>15</v>
      </c>
      <c r="O58" s="46">
        <f t="shared" si="1"/>
        <v>0.16129032258064516</v>
      </c>
      <c r="P58" s="5">
        <v>2</v>
      </c>
      <c r="Q58" s="46">
        <f t="shared" ref="Q58" si="338">IFERROR(P58/$I58,"")</f>
        <v>2.1505376344086023E-2</v>
      </c>
      <c r="R58" s="5">
        <v>46</v>
      </c>
      <c r="S58" s="46">
        <f t="shared" ref="S58" si="339">IFERROR(R58/$I58,"")</f>
        <v>0.4946236559139785</v>
      </c>
      <c r="T58" s="5">
        <v>2</v>
      </c>
      <c r="U58" s="46">
        <f t="shared" ref="U58" si="340">IFERROR(T58/$I58,"")</f>
        <v>2.1505376344086023E-2</v>
      </c>
      <c r="V58" s="5">
        <v>9</v>
      </c>
      <c r="W58" s="46">
        <f t="shared" ref="W58" si="341">IFERROR(V58/$I58,"")</f>
        <v>9.6774193548387094E-2</v>
      </c>
      <c r="X58" s="5">
        <v>8</v>
      </c>
      <c r="Y58" s="46">
        <f t="shared" ref="Y58" si="342">IFERROR(X58/$I58,"")</f>
        <v>8.6021505376344093E-2</v>
      </c>
      <c r="Z58" s="5">
        <v>2</v>
      </c>
      <c r="AA58" s="46">
        <f t="shared" ref="AA58" si="343">IFERROR(Z58/$I58,"")</f>
        <v>2.1505376344086023E-2</v>
      </c>
      <c r="AB58" s="5">
        <v>50</v>
      </c>
      <c r="AC58" s="46">
        <f t="shared" si="8"/>
        <v>0.42735042735042733</v>
      </c>
      <c r="AD58" s="5">
        <v>63</v>
      </c>
      <c r="AE58" s="5">
        <v>83364</v>
      </c>
      <c r="AF58" s="5">
        <f t="shared" si="9"/>
        <v>1667.28</v>
      </c>
      <c r="AG58" s="5">
        <v>0</v>
      </c>
      <c r="AH58" s="49">
        <f t="shared" si="10"/>
        <v>0</v>
      </c>
      <c r="AI58" s="5">
        <v>0</v>
      </c>
      <c r="AJ58" s="5">
        <v>4</v>
      </c>
      <c r="AK58" s="4">
        <v>14</v>
      </c>
      <c r="AL58" s="7">
        <v>13</v>
      </c>
      <c r="AM58" s="4">
        <v>1</v>
      </c>
      <c r="AN58" s="4">
        <v>0</v>
      </c>
      <c r="AO58" s="11">
        <f t="shared" si="11"/>
        <v>92.857142857142861</v>
      </c>
      <c r="AP58" s="50">
        <f t="shared" si="12"/>
        <v>0.11965811965811966</v>
      </c>
      <c r="AQ58" s="7">
        <v>0</v>
      </c>
      <c r="AR58" s="50">
        <f t="shared" si="13"/>
        <v>0</v>
      </c>
      <c r="AS58" s="4">
        <v>0</v>
      </c>
    </row>
    <row r="59" spans="1:45" ht="18" customHeight="1" x14ac:dyDescent="0.3">
      <c r="A59" s="4" t="s">
        <v>36</v>
      </c>
      <c r="B59" s="4" t="s">
        <v>82</v>
      </c>
      <c r="C59" s="4" t="s">
        <v>83</v>
      </c>
      <c r="D59" s="4" t="s">
        <v>84</v>
      </c>
      <c r="E59" s="4" t="s">
        <v>85</v>
      </c>
      <c r="F59" s="7" t="s">
        <v>48</v>
      </c>
      <c r="G59" s="4" t="s">
        <v>65</v>
      </c>
      <c r="H59" s="5">
        <v>149</v>
      </c>
      <c r="I59" s="5">
        <v>64</v>
      </c>
      <c r="J59" s="6">
        <f t="shared" si="0"/>
        <v>0.42953020134228187</v>
      </c>
      <c r="K59" s="5"/>
      <c r="L59" s="5"/>
      <c r="M59" s="5"/>
      <c r="N59" s="9">
        <v>8</v>
      </c>
      <c r="O59" s="46">
        <f t="shared" si="1"/>
        <v>0.125</v>
      </c>
      <c r="P59" s="5">
        <v>1</v>
      </c>
      <c r="Q59" s="46">
        <f t="shared" ref="Q59" si="344">IFERROR(P59/$I59,"")</f>
        <v>1.5625E-2</v>
      </c>
      <c r="R59" s="5">
        <v>40</v>
      </c>
      <c r="S59" s="46">
        <f t="shared" ref="S59" si="345">IFERROR(R59/$I59,"")</f>
        <v>0.625</v>
      </c>
      <c r="T59" s="5">
        <v>0</v>
      </c>
      <c r="U59" s="46">
        <f t="shared" ref="U59" si="346">IFERROR(T59/$I59,"")</f>
        <v>0</v>
      </c>
      <c r="V59" s="5">
        <v>9</v>
      </c>
      <c r="W59" s="46">
        <f t="shared" ref="W59" si="347">IFERROR(V59/$I59,"")</f>
        <v>0.140625</v>
      </c>
      <c r="X59" s="5">
        <v>13</v>
      </c>
      <c r="Y59" s="46">
        <f t="shared" ref="Y59" si="348">IFERROR(X59/$I59,"")</f>
        <v>0.203125</v>
      </c>
      <c r="Z59" s="5">
        <v>7</v>
      </c>
      <c r="AA59" s="46">
        <f t="shared" ref="AA59" si="349">IFERROR(Z59/$I59,"")</f>
        <v>0.109375</v>
      </c>
      <c r="AB59" s="5">
        <v>26</v>
      </c>
      <c r="AC59" s="46">
        <f t="shared" si="8"/>
        <v>0.17449664429530201</v>
      </c>
      <c r="AD59" s="5">
        <v>39</v>
      </c>
      <c r="AE59" s="5">
        <v>58416</v>
      </c>
      <c r="AF59" s="5">
        <f t="shared" si="9"/>
        <v>2246.7692307692309</v>
      </c>
      <c r="AG59" s="5">
        <v>0</v>
      </c>
      <c r="AH59" s="49">
        <f t="shared" si="10"/>
        <v>0</v>
      </c>
      <c r="AI59" s="5">
        <v>3170</v>
      </c>
      <c r="AJ59" s="5">
        <v>5</v>
      </c>
      <c r="AK59" s="4">
        <v>18</v>
      </c>
      <c r="AL59" s="7">
        <v>16</v>
      </c>
      <c r="AM59" s="4">
        <v>1</v>
      </c>
      <c r="AN59" s="4">
        <v>1</v>
      </c>
      <c r="AO59" s="11">
        <f t="shared" si="11"/>
        <v>83.333333333333343</v>
      </c>
      <c r="AP59" s="50">
        <f t="shared" si="12"/>
        <v>0.12080536912751678</v>
      </c>
      <c r="AQ59" s="7">
        <v>1</v>
      </c>
      <c r="AR59" s="50">
        <f t="shared" si="13"/>
        <v>6.7114093959731542E-3</v>
      </c>
      <c r="AS59" s="4">
        <v>0</v>
      </c>
    </row>
    <row r="60" spans="1:45" ht="18" customHeight="1" x14ac:dyDescent="0.3">
      <c r="A60" s="4" t="s">
        <v>36</v>
      </c>
      <c r="B60" s="4" t="s">
        <v>82</v>
      </c>
      <c r="C60" s="4" t="s">
        <v>83</v>
      </c>
      <c r="D60" s="4" t="s">
        <v>86</v>
      </c>
      <c r="E60" s="4" t="s">
        <v>87</v>
      </c>
      <c r="F60" s="7" t="s">
        <v>48</v>
      </c>
      <c r="G60" s="4" t="s">
        <v>88</v>
      </c>
      <c r="H60" s="5">
        <v>161</v>
      </c>
      <c r="I60" s="5">
        <v>63</v>
      </c>
      <c r="J60" s="6">
        <f t="shared" si="0"/>
        <v>0.39130434782608697</v>
      </c>
      <c r="K60" s="5"/>
      <c r="L60" s="5"/>
      <c r="M60" s="5"/>
      <c r="N60" s="9">
        <v>8</v>
      </c>
      <c r="O60" s="46">
        <f t="shared" si="1"/>
        <v>0.12698412698412698</v>
      </c>
      <c r="P60" s="5">
        <v>0</v>
      </c>
      <c r="Q60" s="46">
        <f t="shared" ref="Q60" si="350">IFERROR(P60/$I60,"")</f>
        <v>0</v>
      </c>
      <c r="R60" s="5">
        <v>21</v>
      </c>
      <c r="S60" s="46">
        <f t="shared" ref="S60" si="351">IFERROR(R60/$I60,"")</f>
        <v>0.33333333333333331</v>
      </c>
      <c r="T60" s="5">
        <v>2</v>
      </c>
      <c r="U60" s="46">
        <f t="shared" ref="U60" si="352">IFERROR(T60/$I60,"")</f>
        <v>3.1746031746031744E-2</v>
      </c>
      <c r="V60" s="5">
        <v>2</v>
      </c>
      <c r="W60" s="46">
        <f t="shared" ref="W60" si="353">IFERROR(V60/$I60,"")</f>
        <v>3.1746031746031744E-2</v>
      </c>
      <c r="X60" s="5">
        <v>5</v>
      </c>
      <c r="Y60" s="46">
        <f t="shared" ref="Y60" si="354">IFERROR(X60/$I60,"")</f>
        <v>7.9365079365079361E-2</v>
      </c>
      <c r="Z60" s="5">
        <v>3</v>
      </c>
      <c r="AA60" s="46">
        <f t="shared" ref="AA60" si="355">IFERROR(Z60/$I60,"")</f>
        <v>4.7619047619047616E-2</v>
      </c>
      <c r="AB60" s="5">
        <v>20</v>
      </c>
      <c r="AC60" s="46">
        <f t="shared" si="8"/>
        <v>0.12422360248447205</v>
      </c>
      <c r="AD60" s="5">
        <v>20</v>
      </c>
      <c r="AE60" s="5">
        <v>31835</v>
      </c>
      <c r="AF60" s="5">
        <f t="shared" si="9"/>
        <v>1591.75</v>
      </c>
      <c r="AG60" s="5">
        <v>0</v>
      </c>
      <c r="AH60" s="49">
        <f t="shared" si="10"/>
        <v>0</v>
      </c>
      <c r="AI60" s="5">
        <v>0</v>
      </c>
      <c r="AJ60" s="5">
        <v>7</v>
      </c>
      <c r="AK60" s="4">
        <v>17</v>
      </c>
      <c r="AL60" s="7">
        <v>13</v>
      </c>
      <c r="AM60" s="4">
        <v>2</v>
      </c>
      <c r="AN60" s="4">
        <v>2</v>
      </c>
      <c r="AO60" s="11">
        <f t="shared" si="11"/>
        <v>64.705882352941174</v>
      </c>
      <c r="AP60" s="50">
        <f t="shared" si="12"/>
        <v>0.10559006211180125</v>
      </c>
      <c r="AQ60" s="7">
        <v>3</v>
      </c>
      <c r="AR60" s="50">
        <f t="shared" si="13"/>
        <v>1.8633540372670808E-2</v>
      </c>
      <c r="AS60" s="4">
        <v>0</v>
      </c>
    </row>
    <row r="61" spans="1:45" ht="18" customHeight="1" x14ac:dyDescent="0.3">
      <c r="A61" s="4" t="s">
        <v>36</v>
      </c>
      <c r="B61" s="4" t="s">
        <v>89</v>
      </c>
      <c r="C61" s="4" t="s">
        <v>83</v>
      </c>
      <c r="D61" s="4" t="s">
        <v>90</v>
      </c>
      <c r="E61" s="4" t="s">
        <v>91</v>
      </c>
      <c r="F61" s="7" t="s">
        <v>48</v>
      </c>
      <c r="G61" s="4" t="s">
        <v>54</v>
      </c>
      <c r="H61" s="5">
        <v>152</v>
      </c>
      <c r="I61" s="5">
        <v>70</v>
      </c>
      <c r="J61" s="6">
        <f t="shared" si="0"/>
        <v>0.46052631578947367</v>
      </c>
      <c r="K61" s="5"/>
      <c r="L61" s="5"/>
      <c r="M61" s="5"/>
      <c r="N61" s="9">
        <v>21</v>
      </c>
      <c r="O61" s="46">
        <f t="shared" si="1"/>
        <v>0.3</v>
      </c>
      <c r="P61" s="5">
        <v>8</v>
      </c>
      <c r="Q61" s="46">
        <f t="shared" ref="Q61" si="356">IFERROR(P61/$I61,"")</f>
        <v>0.11428571428571428</v>
      </c>
      <c r="R61" s="5">
        <v>45</v>
      </c>
      <c r="S61" s="46">
        <f t="shared" ref="S61" si="357">IFERROR(R61/$I61,"")</f>
        <v>0.6428571428571429</v>
      </c>
      <c r="T61" s="5">
        <v>18</v>
      </c>
      <c r="U61" s="46">
        <f t="shared" ref="U61" si="358">IFERROR(T61/$I61,"")</f>
        <v>0.25714285714285712</v>
      </c>
      <c r="V61" s="5">
        <v>18</v>
      </c>
      <c r="W61" s="46">
        <f t="shared" ref="W61" si="359">IFERROR(V61/$I61,"")</f>
        <v>0.25714285714285712</v>
      </c>
      <c r="X61" s="5">
        <v>20</v>
      </c>
      <c r="Y61" s="46">
        <f t="shared" ref="Y61" si="360">IFERROR(X61/$I61,"")</f>
        <v>0.2857142857142857</v>
      </c>
      <c r="Z61" s="5">
        <v>13</v>
      </c>
      <c r="AA61" s="46">
        <f t="shared" ref="AA61" si="361">IFERROR(Z61/$I61,"")</f>
        <v>0.18571428571428572</v>
      </c>
      <c r="AB61" s="5">
        <v>50</v>
      </c>
      <c r="AC61" s="46">
        <f t="shared" si="8"/>
        <v>0.32894736842105265</v>
      </c>
      <c r="AD61" s="5">
        <v>52</v>
      </c>
      <c r="AE61" s="5">
        <v>74842</v>
      </c>
      <c r="AF61" s="5">
        <f t="shared" si="9"/>
        <v>1496.84</v>
      </c>
      <c r="AG61" s="5">
        <v>1145.02</v>
      </c>
      <c r="AH61" s="49">
        <f t="shared" si="10"/>
        <v>16.357428571428571</v>
      </c>
      <c r="AI61" s="5">
        <v>2563</v>
      </c>
      <c r="AJ61" s="5">
        <v>38</v>
      </c>
      <c r="AK61" s="4">
        <v>25</v>
      </c>
      <c r="AL61" s="7">
        <v>23</v>
      </c>
      <c r="AM61" s="4">
        <v>1</v>
      </c>
      <c r="AN61" s="4">
        <v>1</v>
      </c>
      <c r="AO61" s="11">
        <f t="shared" si="11"/>
        <v>88</v>
      </c>
      <c r="AP61" s="50">
        <f t="shared" si="12"/>
        <v>0.16447368421052633</v>
      </c>
      <c r="AQ61" s="7">
        <v>3</v>
      </c>
      <c r="AR61" s="50">
        <f t="shared" si="13"/>
        <v>1.9736842105263157E-2</v>
      </c>
      <c r="AS61" s="4">
        <v>0</v>
      </c>
    </row>
    <row r="62" spans="1:45" ht="18" customHeight="1" x14ac:dyDescent="0.3">
      <c r="A62" s="4" t="s">
        <v>36</v>
      </c>
      <c r="B62" s="4" t="s">
        <v>89</v>
      </c>
      <c r="C62" s="4" t="s">
        <v>83</v>
      </c>
      <c r="D62" s="4" t="s">
        <v>92</v>
      </c>
      <c r="E62" s="4" t="s">
        <v>93</v>
      </c>
      <c r="F62" s="7" t="s">
        <v>48</v>
      </c>
      <c r="G62" s="4" t="s">
        <v>49</v>
      </c>
      <c r="H62" s="5">
        <v>165</v>
      </c>
      <c r="I62" s="5">
        <v>91</v>
      </c>
      <c r="J62" s="6">
        <f t="shared" si="0"/>
        <v>0.55151515151515151</v>
      </c>
      <c r="K62" s="5"/>
      <c r="L62" s="5"/>
      <c r="M62" s="5"/>
      <c r="N62" s="9">
        <v>22</v>
      </c>
      <c r="O62" s="46">
        <f t="shared" si="1"/>
        <v>0.24175824175824176</v>
      </c>
      <c r="P62" s="5">
        <v>6</v>
      </c>
      <c r="Q62" s="46">
        <f t="shared" ref="Q62" si="362">IFERROR(P62/$I62,"")</f>
        <v>6.5934065934065936E-2</v>
      </c>
      <c r="R62" s="5">
        <v>47</v>
      </c>
      <c r="S62" s="46">
        <f t="shared" ref="S62" si="363">IFERROR(R62/$I62,"")</f>
        <v>0.51648351648351654</v>
      </c>
      <c r="T62" s="5">
        <v>10</v>
      </c>
      <c r="U62" s="46">
        <f t="shared" ref="U62" si="364">IFERROR(T62/$I62,"")</f>
        <v>0.10989010989010989</v>
      </c>
      <c r="V62" s="5">
        <v>14</v>
      </c>
      <c r="W62" s="46">
        <f t="shared" ref="W62" si="365">IFERROR(V62/$I62,"")</f>
        <v>0.15384615384615385</v>
      </c>
      <c r="X62" s="5">
        <v>16</v>
      </c>
      <c r="Y62" s="46">
        <f t="shared" ref="Y62" si="366">IFERROR(X62/$I62,"")</f>
        <v>0.17582417582417584</v>
      </c>
      <c r="Z62" s="5">
        <v>6</v>
      </c>
      <c r="AA62" s="46">
        <f t="shared" ref="AA62" si="367">IFERROR(Z62/$I62,"")</f>
        <v>6.5934065934065936E-2</v>
      </c>
      <c r="AB62" s="5">
        <v>50</v>
      </c>
      <c r="AC62" s="46">
        <f t="shared" si="8"/>
        <v>0.30303030303030304</v>
      </c>
      <c r="AD62" s="5">
        <v>55</v>
      </c>
      <c r="AE62" s="5">
        <v>92188</v>
      </c>
      <c r="AF62" s="5">
        <f t="shared" si="9"/>
        <v>1843.76</v>
      </c>
      <c r="AG62" s="5">
        <v>990.42</v>
      </c>
      <c r="AH62" s="49">
        <f t="shared" si="10"/>
        <v>10.883736263736264</v>
      </c>
      <c r="AI62" s="5">
        <v>12776</v>
      </c>
      <c r="AJ62" s="5">
        <v>20</v>
      </c>
      <c r="AK62" s="4">
        <v>21</v>
      </c>
      <c r="AL62" s="7">
        <v>19</v>
      </c>
      <c r="AM62" s="4">
        <v>1</v>
      </c>
      <c r="AN62" s="4">
        <v>1</v>
      </c>
      <c r="AO62" s="11">
        <f t="shared" si="11"/>
        <v>85.714285714285708</v>
      </c>
      <c r="AP62" s="50">
        <f t="shared" si="12"/>
        <v>0.12727272727272726</v>
      </c>
      <c r="AQ62" s="7">
        <v>2</v>
      </c>
      <c r="AR62" s="50">
        <f t="shared" si="13"/>
        <v>1.2121212121212121E-2</v>
      </c>
      <c r="AS62" s="4">
        <v>0</v>
      </c>
    </row>
    <row r="63" spans="1:45" ht="18" customHeight="1" x14ac:dyDescent="0.3">
      <c r="A63" s="4" t="s">
        <v>36</v>
      </c>
      <c r="B63" s="4" t="s">
        <v>89</v>
      </c>
      <c r="C63" s="4" t="s">
        <v>83</v>
      </c>
      <c r="D63" s="4" t="s">
        <v>94</v>
      </c>
      <c r="E63" s="4" t="s">
        <v>95</v>
      </c>
      <c r="F63" s="7" t="s">
        <v>48</v>
      </c>
      <c r="G63" s="4" t="s">
        <v>81</v>
      </c>
      <c r="H63" s="5">
        <v>126</v>
      </c>
      <c r="I63" s="5">
        <v>74</v>
      </c>
      <c r="J63" s="6">
        <f t="shared" si="0"/>
        <v>0.58730158730158732</v>
      </c>
      <c r="K63" s="5"/>
      <c r="L63" s="5"/>
      <c r="M63" s="5"/>
      <c r="N63" s="9">
        <v>0</v>
      </c>
      <c r="O63" s="46">
        <f t="shared" si="1"/>
        <v>0</v>
      </c>
      <c r="P63" s="5">
        <v>2</v>
      </c>
      <c r="Q63" s="46">
        <f t="shared" ref="Q63" si="368">IFERROR(P63/$I63,"")</f>
        <v>2.7027027027027029E-2</v>
      </c>
      <c r="R63" s="5">
        <v>37</v>
      </c>
      <c r="S63" s="46">
        <f t="shared" ref="S63" si="369">IFERROR(R63/$I63,"")</f>
        <v>0.5</v>
      </c>
      <c r="T63" s="5">
        <v>4</v>
      </c>
      <c r="U63" s="46">
        <f t="shared" ref="U63" si="370">IFERROR(T63/$I63,"")</f>
        <v>5.4054054054054057E-2</v>
      </c>
      <c r="V63" s="5">
        <v>17</v>
      </c>
      <c r="W63" s="46">
        <f t="shared" ref="W63" si="371">IFERROR(V63/$I63,"")</f>
        <v>0.22972972972972974</v>
      </c>
      <c r="X63" s="5">
        <v>6</v>
      </c>
      <c r="Y63" s="46">
        <f t="shared" ref="Y63" si="372">IFERROR(X63/$I63,"")</f>
        <v>8.1081081081081086E-2</v>
      </c>
      <c r="Z63" s="5">
        <v>10</v>
      </c>
      <c r="AA63" s="46">
        <f t="shared" ref="AA63" si="373">IFERROR(Z63/$I63,"")</f>
        <v>0.13513513513513514</v>
      </c>
      <c r="AB63" s="5">
        <v>38</v>
      </c>
      <c r="AC63" s="46">
        <f t="shared" si="8"/>
        <v>0.30158730158730157</v>
      </c>
      <c r="AD63" s="5">
        <v>41</v>
      </c>
      <c r="AE63" s="5">
        <v>50557</v>
      </c>
      <c r="AF63" s="5">
        <f t="shared" si="9"/>
        <v>1330.4473684210527</v>
      </c>
      <c r="AG63" s="5">
        <v>1746.71</v>
      </c>
      <c r="AH63" s="49">
        <f t="shared" si="10"/>
        <v>23.604189189189189</v>
      </c>
      <c r="AI63" s="5">
        <v>3170</v>
      </c>
      <c r="AJ63" s="5">
        <v>20</v>
      </c>
      <c r="AK63" s="4">
        <v>18</v>
      </c>
      <c r="AL63" s="7">
        <v>15</v>
      </c>
      <c r="AM63" s="4">
        <v>1</v>
      </c>
      <c r="AN63" s="4">
        <v>2</v>
      </c>
      <c r="AO63" s="11">
        <f t="shared" si="11"/>
        <v>72.222222222222214</v>
      </c>
      <c r="AP63" s="50">
        <f t="shared" si="12"/>
        <v>0.14285714285714285</v>
      </c>
      <c r="AQ63" s="7">
        <v>2</v>
      </c>
      <c r="AR63" s="50">
        <f t="shared" si="13"/>
        <v>1.5873015873015872E-2</v>
      </c>
      <c r="AS63" s="4">
        <v>0</v>
      </c>
    </row>
    <row r="64" spans="1:45" ht="18" customHeight="1" x14ac:dyDescent="0.3">
      <c r="A64" s="4" t="s">
        <v>36</v>
      </c>
      <c r="B64" s="4" t="s">
        <v>89</v>
      </c>
      <c r="C64" s="4" t="s">
        <v>83</v>
      </c>
      <c r="D64" s="4" t="s">
        <v>96</v>
      </c>
      <c r="E64" s="4" t="s">
        <v>97</v>
      </c>
      <c r="F64" s="7" t="s">
        <v>48</v>
      </c>
      <c r="G64" s="4" t="s">
        <v>65</v>
      </c>
      <c r="H64" s="5">
        <v>181</v>
      </c>
      <c r="I64" s="5">
        <v>97</v>
      </c>
      <c r="J64" s="6">
        <f t="shared" si="0"/>
        <v>0.53591160220994472</v>
      </c>
      <c r="K64" s="5"/>
      <c r="L64" s="5"/>
      <c r="M64" s="5"/>
      <c r="N64" s="9">
        <v>23</v>
      </c>
      <c r="O64" s="46">
        <f t="shared" si="1"/>
        <v>0.23711340206185566</v>
      </c>
      <c r="P64" s="5">
        <v>4</v>
      </c>
      <c r="Q64" s="46">
        <f t="shared" ref="Q64" si="374">IFERROR(P64/$I64,"")</f>
        <v>4.1237113402061855E-2</v>
      </c>
      <c r="R64" s="5">
        <v>53</v>
      </c>
      <c r="S64" s="46">
        <f t="shared" ref="S64" si="375">IFERROR(R64/$I64,"")</f>
        <v>0.54639175257731953</v>
      </c>
      <c r="T64" s="5">
        <v>8</v>
      </c>
      <c r="U64" s="46">
        <f t="shared" ref="U64" si="376">IFERROR(T64/$I64,"")</f>
        <v>8.247422680412371E-2</v>
      </c>
      <c r="V64" s="5">
        <v>19</v>
      </c>
      <c r="W64" s="46">
        <f t="shared" ref="W64" si="377">IFERROR(V64/$I64,"")</f>
        <v>0.19587628865979381</v>
      </c>
      <c r="X64" s="5">
        <v>11</v>
      </c>
      <c r="Y64" s="46">
        <f t="shared" ref="Y64" si="378">IFERROR(X64/$I64,"")</f>
        <v>0.1134020618556701</v>
      </c>
      <c r="Z64" s="5">
        <v>14</v>
      </c>
      <c r="AA64" s="46">
        <f t="shared" ref="AA64" si="379">IFERROR(Z64/$I64,"")</f>
        <v>0.14432989690721648</v>
      </c>
      <c r="AB64" s="5">
        <v>60</v>
      </c>
      <c r="AC64" s="46">
        <f t="shared" si="8"/>
        <v>0.33149171270718231</v>
      </c>
      <c r="AD64" s="5">
        <v>70</v>
      </c>
      <c r="AE64" s="5">
        <v>120087</v>
      </c>
      <c r="AF64" s="5">
        <f t="shared" si="9"/>
        <v>2001.45</v>
      </c>
      <c r="AG64" s="5">
        <v>2438.0500000000002</v>
      </c>
      <c r="AH64" s="49">
        <f t="shared" si="10"/>
        <v>25.134536082474227</v>
      </c>
      <c r="AI64" s="5">
        <v>1472</v>
      </c>
      <c r="AJ64" s="5">
        <v>28</v>
      </c>
      <c r="AK64" s="4">
        <v>19</v>
      </c>
      <c r="AL64" s="7">
        <v>19</v>
      </c>
      <c r="AM64" s="4">
        <v>0</v>
      </c>
      <c r="AN64" s="4">
        <v>0</v>
      </c>
      <c r="AO64" s="11">
        <f t="shared" si="11"/>
        <v>100</v>
      </c>
      <c r="AP64" s="50">
        <f t="shared" si="12"/>
        <v>0.10497237569060773</v>
      </c>
      <c r="AQ64" s="7">
        <v>2</v>
      </c>
      <c r="AR64" s="50">
        <f t="shared" si="13"/>
        <v>1.1049723756906077E-2</v>
      </c>
      <c r="AS64" s="4">
        <v>0</v>
      </c>
    </row>
    <row r="65" spans="1:45" ht="18" customHeight="1" x14ac:dyDescent="0.3">
      <c r="A65" s="4" t="s">
        <v>36</v>
      </c>
      <c r="B65" s="4" t="s">
        <v>98</v>
      </c>
      <c r="C65" s="4" t="s">
        <v>47</v>
      </c>
      <c r="D65" s="4" t="s">
        <v>99</v>
      </c>
      <c r="E65" s="4" t="s">
        <v>100</v>
      </c>
      <c r="F65" s="7" t="s">
        <v>48</v>
      </c>
      <c r="G65" s="4" t="s">
        <v>54</v>
      </c>
      <c r="H65" s="5">
        <v>156</v>
      </c>
      <c r="I65" s="5">
        <v>122</v>
      </c>
      <c r="J65" s="6">
        <f t="shared" si="0"/>
        <v>0.78205128205128205</v>
      </c>
      <c r="K65" s="5"/>
      <c r="L65" s="5"/>
      <c r="M65" s="5"/>
      <c r="N65" s="9">
        <v>28</v>
      </c>
      <c r="O65" s="46">
        <f t="shared" si="1"/>
        <v>0.22950819672131148</v>
      </c>
      <c r="P65" s="5">
        <v>7</v>
      </c>
      <c r="Q65" s="46">
        <f t="shared" ref="Q65" si="380">IFERROR(P65/$I65,"")</f>
        <v>5.737704918032787E-2</v>
      </c>
      <c r="R65" s="5">
        <v>52</v>
      </c>
      <c r="S65" s="46">
        <f t="shared" ref="S65" si="381">IFERROR(R65/$I65,"")</f>
        <v>0.42622950819672129</v>
      </c>
      <c r="T65" s="5">
        <v>7</v>
      </c>
      <c r="U65" s="46">
        <f t="shared" ref="U65" si="382">IFERROR(T65/$I65,"")</f>
        <v>5.737704918032787E-2</v>
      </c>
      <c r="V65" s="5">
        <v>43</v>
      </c>
      <c r="W65" s="46">
        <f t="shared" ref="W65" si="383">IFERROR(V65/$I65,"")</f>
        <v>0.35245901639344263</v>
      </c>
      <c r="X65" s="5">
        <v>36</v>
      </c>
      <c r="Y65" s="46">
        <f t="shared" ref="Y65" si="384">IFERROR(X65/$I65,"")</f>
        <v>0.29508196721311475</v>
      </c>
      <c r="Z65" s="5">
        <v>5</v>
      </c>
      <c r="AA65" s="46">
        <f t="shared" ref="AA65" si="385">IFERROR(Z65/$I65,"")</f>
        <v>4.0983606557377046E-2</v>
      </c>
      <c r="AB65" s="5">
        <v>101</v>
      </c>
      <c r="AC65" s="46">
        <f t="shared" si="8"/>
        <v>0.64743589743589747</v>
      </c>
      <c r="AD65" s="5">
        <v>146</v>
      </c>
      <c r="AE65" s="5">
        <v>228535</v>
      </c>
      <c r="AF65" s="5">
        <f t="shared" si="9"/>
        <v>2262.7227722772277</v>
      </c>
      <c r="AG65" s="5">
        <v>3204.63</v>
      </c>
      <c r="AH65" s="49">
        <f t="shared" si="10"/>
        <v>26.267459016393442</v>
      </c>
      <c r="AI65" s="5">
        <v>43524</v>
      </c>
      <c r="AJ65" s="5">
        <v>18</v>
      </c>
      <c r="AK65" s="4">
        <v>42</v>
      </c>
      <c r="AL65" s="7">
        <v>42</v>
      </c>
      <c r="AM65" s="4">
        <v>0</v>
      </c>
      <c r="AN65" s="4">
        <v>0</v>
      </c>
      <c r="AO65" s="11">
        <f t="shared" si="11"/>
        <v>100</v>
      </c>
      <c r="AP65" s="50">
        <f t="shared" si="12"/>
        <v>0.26923076923076922</v>
      </c>
      <c r="AQ65" s="7">
        <v>2</v>
      </c>
      <c r="AR65" s="50">
        <f t="shared" si="13"/>
        <v>1.282051282051282E-2</v>
      </c>
      <c r="AS65" s="4">
        <v>0</v>
      </c>
    </row>
    <row r="66" spans="1:45" ht="18" customHeight="1" x14ac:dyDescent="0.3">
      <c r="A66" s="4" t="s">
        <v>36</v>
      </c>
      <c r="B66" s="4" t="s">
        <v>98</v>
      </c>
      <c r="C66" s="4" t="s">
        <v>47</v>
      </c>
      <c r="D66" s="4" t="s">
        <v>101</v>
      </c>
      <c r="E66" s="4" t="s">
        <v>102</v>
      </c>
      <c r="F66" s="7" t="s">
        <v>48</v>
      </c>
      <c r="G66" s="4" t="s">
        <v>65</v>
      </c>
      <c r="H66" s="5">
        <v>126</v>
      </c>
      <c r="I66" s="5">
        <v>106</v>
      </c>
      <c r="J66" s="6">
        <f t="shared" si="0"/>
        <v>0.84126984126984128</v>
      </c>
      <c r="K66" s="5"/>
      <c r="L66" s="5"/>
      <c r="M66" s="5"/>
      <c r="N66" s="9">
        <v>12</v>
      </c>
      <c r="O66" s="46">
        <f t="shared" si="1"/>
        <v>0.11320754716981132</v>
      </c>
      <c r="P66" s="5">
        <v>8</v>
      </c>
      <c r="Q66" s="46">
        <f t="shared" ref="Q66" si="386">IFERROR(P66/$I66,"")</f>
        <v>7.5471698113207544E-2</v>
      </c>
      <c r="R66" s="5">
        <v>43</v>
      </c>
      <c r="S66" s="46">
        <f t="shared" ref="S66" si="387">IFERROR(R66/$I66,"")</f>
        <v>0.40566037735849059</v>
      </c>
      <c r="T66" s="5">
        <v>0</v>
      </c>
      <c r="U66" s="46">
        <f t="shared" ref="U66" si="388">IFERROR(T66/$I66,"")</f>
        <v>0</v>
      </c>
      <c r="V66" s="5">
        <v>19</v>
      </c>
      <c r="W66" s="46">
        <f t="shared" ref="W66" si="389">IFERROR(V66/$I66,"")</f>
        <v>0.17924528301886791</v>
      </c>
      <c r="X66" s="5">
        <v>12</v>
      </c>
      <c r="Y66" s="46">
        <f t="shared" ref="Y66" si="390">IFERROR(X66/$I66,"")</f>
        <v>0.11320754716981132</v>
      </c>
      <c r="Z66" s="5">
        <v>10</v>
      </c>
      <c r="AA66" s="46">
        <f t="shared" ref="AA66" si="391">IFERROR(Z66/$I66,"")</f>
        <v>9.4339622641509441E-2</v>
      </c>
      <c r="AB66" s="5">
        <v>80</v>
      </c>
      <c r="AC66" s="46">
        <f t="shared" si="8"/>
        <v>0.63492063492063489</v>
      </c>
      <c r="AD66" s="5">
        <v>113</v>
      </c>
      <c r="AE66" s="5">
        <v>177442</v>
      </c>
      <c r="AF66" s="5">
        <f t="shared" si="9"/>
        <v>2218.0250000000001</v>
      </c>
      <c r="AG66" s="5">
        <v>1343.1399999999999</v>
      </c>
      <c r="AH66" s="49">
        <f t="shared" si="10"/>
        <v>12.671132075471697</v>
      </c>
      <c r="AI66" s="5">
        <v>40104.22</v>
      </c>
      <c r="AJ66" s="5">
        <v>15</v>
      </c>
      <c r="AK66" s="4">
        <v>22</v>
      </c>
      <c r="AL66" s="7">
        <v>20</v>
      </c>
      <c r="AM66" s="4">
        <v>1</v>
      </c>
      <c r="AN66" s="4">
        <v>1</v>
      </c>
      <c r="AO66" s="11">
        <f t="shared" si="11"/>
        <v>86.36363636363636</v>
      </c>
      <c r="AP66" s="50">
        <f t="shared" si="12"/>
        <v>0.17460317460317459</v>
      </c>
      <c r="AQ66" s="7">
        <v>4</v>
      </c>
      <c r="AR66" s="50">
        <f t="shared" si="13"/>
        <v>3.1746031746031744E-2</v>
      </c>
      <c r="AS66" s="4">
        <v>0</v>
      </c>
    </row>
    <row r="67" spans="1:45" ht="18" customHeight="1" x14ac:dyDescent="0.3">
      <c r="A67" s="4" t="s">
        <v>36</v>
      </c>
      <c r="B67" s="4" t="s">
        <v>98</v>
      </c>
      <c r="C67" s="4" t="s">
        <v>47</v>
      </c>
      <c r="D67" s="4" t="s">
        <v>103</v>
      </c>
      <c r="E67" s="4" t="s">
        <v>104</v>
      </c>
      <c r="F67" s="7" t="s">
        <v>48</v>
      </c>
      <c r="G67" s="4" t="s">
        <v>65</v>
      </c>
      <c r="H67" s="5">
        <v>126</v>
      </c>
      <c r="I67" s="5">
        <v>100</v>
      </c>
      <c r="J67" s="6">
        <f t="shared" ref="J67:J130" si="392">I67/H67</f>
        <v>0.79365079365079361</v>
      </c>
      <c r="K67" s="5"/>
      <c r="L67" s="5"/>
      <c r="M67" s="5"/>
      <c r="N67" s="9">
        <v>19</v>
      </c>
      <c r="O67" s="46">
        <f t="shared" ref="O67:O130" si="393">IFERROR(N67/$I67,"")</f>
        <v>0.19</v>
      </c>
      <c r="P67" s="5">
        <v>3</v>
      </c>
      <c r="Q67" s="46">
        <f t="shared" ref="Q67" si="394">IFERROR(P67/$I67,"")</f>
        <v>0.03</v>
      </c>
      <c r="R67" s="5">
        <v>59</v>
      </c>
      <c r="S67" s="46">
        <f t="shared" ref="S67" si="395">IFERROR(R67/$I67,"")</f>
        <v>0.59</v>
      </c>
      <c r="T67" s="5">
        <v>2</v>
      </c>
      <c r="U67" s="46">
        <f t="shared" ref="U67" si="396">IFERROR(T67/$I67,"")</f>
        <v>0.02</v>
      </c>
      <c r="V67" s="5">
        <v>15</v>
      </c>
      <c r="W67" s="46">
        <f t="shared" ref="W67" si="397">IFERROR(V67/$I67,"")</f>
        <v>0.15</v>
      </c>
      <c r="X67" s="5">
        <v>19</v>
      </c>
      <c r="Y67" s="46">
        <f t="shared" ref="Y67" si="398">IFERROR(X67/$I67,"")</f>
        <v>0.19</v>
      </c>
      <c r="Z67" s="5">
        <v>13</v>
      </c>
      <c r="AA67" s="46">
        <f t="shared" ref="AA67" si="399">IFERROR(Z67/$I67,"")</f>
        <v>0.13</v>
      </c>
      <c r="AB67" s="5">
        <v>76</v>
      </c>
      <c r="AC67" s="46">
        <f t="shared" ref="AC67:AC130" si="400">IFERROR(AB67/$H67,"")</f>
        <v>0.60317460317460314</v>
      </c>
      <c r="AD67" s="5">
        <v>96</v>
      </c>
      <c r="AE67" s="5">
        <v>127348</v>
      </c>
      <c r="AF67" s="5">
        <f t="shared" ref="AF67:AF130" si="401">IFERROR(AE67/AB67,"")</f>
        <v>1675.6315789473683</v>
      </c>
      <c r="AG67" s="5">
        <v>3167.2000000000003</v>
      </c>
      <c r="AH67" s="49">
        <f t="shared" ref="AH67:AH130" si="402">IFERROR(AG67/$I67,"")</f>
        <v>31.672000000000004</v>
      </c>
      <c r="AI67" s="5">
        <v>35348</v>
      </c>
      <c r="AJ67" s="5">
        <v>14</v>
      </c>
      <c r="AK67" s="4">
        <v>20</v>
      </c>
      <c r="AL67" s="7">
        <v>19</v>
      </c>
      <c r="AM67" s="4">
        <v>1</v>
      </c>
      <c r="AN67" s="4">
        <v>0</v>
      </c>
      <c r="AO67" s="11">
        <f t="shared" ref="AO67:AO130" si="403">(AL67-AN67)/AK67*100</f>
        <v>95</v>
      </c>
      <c r="AP67" s="50">
        <f t="shared" ref="AP67:AP130" si="404">IFERROR(AK67/H67,"")</f>
        <v>0.15873015873015872</v>
      </c>
      <c r="AQ67" s="7">
        <v>2</v>
      </c>
      <c r="AR67" s="50">
        <f t="shared" ref="AR67:AR130" si="405">IFERROR(AQ67/H67,"")</f>
        <v>1.5873015873015872E-2</v>
      </c>
      <c r="AS67" s="4">
        <v>0</v>
      </c>
    </row>
    <row r="68" spans="1:45" ht="18" customHeight="1" x14ac:dyDescent="0.3">
      <c r="A68" s="4" t="s">
        <v>36</v>
      </c>
      <c r="B68" s="4" t="s">
        <v>98</v>
      </c>
      <c r="C68" s="4" t="s">
        <v>47</v>
      </c>
      <c r="D68" s="4" t="s">
        <v>105</v>
      </c>
      <c r="E68" s="4" t="s">
        <v>106</v>
      </c>
      <c r="F68" s="7" t="s">
        <v>48</v>
      </c>
      <c r="G68" s="4" t="s">
        <v>72</v>
      </c>
      <c r="H68" s="5">
        <v>104</v>
      </c>
      <c r="I68" s="5">
        <v>82</v>
      </c>
      <c r="J68" s="6">
        <f t="shared" si="392"/>
        <v>0.78846153846153844</v>
      </c>
      <c r="K68" s="5"/>
      <c r="L68" s="5"/>
      <c r="M68" s="5"/>
      <c r="N68" s="9">
        <v>13</v>
      </c>
      <c r="O68" s="46">
        <f t="shared" si="393"/>
        <v>0.15853658536585366</v>
      </c>
      <c r="P68" s="5">
        <v>4</v>
      </c>
      <c r="Q68" s="46">
        <f t="shared" ref="Q68" si="406">IFERROR(P68/$I68,"")</f>
        <v>4.878048780487805E-2</v>
      </c>
      <c r="R68" s="5">
        <v>34</v>
      </c>
      <c r="S68" s="46">
        <f t="shared" ref="S68" si="407">IFERROR(R68/$I68,"")</f>
        <v>0.41463414634146339</v>
      </c>
      <c r="T68" s="5">
        <v>3</v>
      </c>
      <c r="U68" s="46">
        <f t="shared" ref="U68" si="408">IFERROR(T68/$I68,"")</f>
        <v>3.6585365853658534E-2</v>
      </c>
      <c r="V68" s="5">
        <v>27</v>
      </c>
      <c r="W68" s="46">
        <f t="shared" ref="W68" si="409">IFERROR(V68/$I68,"")</f>
        <v>0.32926829268292684</v>
      </c>
      <c r="X68" s="5">
        <v>21</v>
      </c>
      <c r="Y68" s="46">
        <f t="shared" ref="Y68" si="410">IFERROR(X68/$I68,"")</f>
        <v>0.25609756097560976</v>
      </c>
      <c r="Z68" s="5">
        <v>13</v>
      </c>
      <c r="AA68" s="46">
        <f t="shared" ref="AA68" si="411">IFERROR(Z68/$I68,"")</f>
        <v>0.15853658536585366</v>
      </c>
      <c r="AB68" s="5">
        <v>68</v>
      </c>
      <c r="AC68" s="46">
        <f t="shared" si="400"/>
        <v>0.65384615384615385</v>
      </c>
      <c r="AD68" s="5">
        <v>94</v>
      </c>
      <c r="AE68" s="5">
        <v>151990</v>
      </c>
      <c r="AF68" s="5">
        <f t="shared" si="401"/>
        <v>2235.1470588235293</v>
      </c>
      <c r="AG68" s="5">
        <v>3196.5800000000004</v>
      </c>
      <c r="AH68" s="49">
        <f t="shared" si="402"/>
        <v>38.98268292682927</v>
      </c>
      <c r="AI68" s="5">
        <v>2347</v>
      </c>
      <c r="AJ68" s="5">
        <v>6</v>
      </c>
      <c r="AK68" s="4">
        <v>20</v>
      </c>
      <c r="AL68" s="7">
        <v>19</v>
      </c>
      <c r="AM68" s="4">
        <v>0</v>
      </c>
      <c r="AN68" s="4">
        <v>1</v>
      </c>
      <c r="AO68" s="11">
        <f t="shared" si="403"/>
        <v>90</v>
      </c>
      <c r="AP68" s="50">
        <f t="shared" si="404"/>
        <v>0.19230769230769232</v>
      </c>
      <c r="AQ68" s="7">
        <v>3</v>
      </c>
      <c r="AR68" s="50">
        <f t="shared" si="405"/>
        <v>2.8846153846153848E-2</v>
      </c>
      <c r="AS68" s="4">
        <v>0</v>
      </c>
    </row>
    <row r="69" spans="1:45" ht="18" customHeight="1" x14ac:dyDescent="0.3">
      <c r="A69" s="4" t="s">
        <v>36</v>
      </c>
      <c r="B69" s="4" t="s">
        <v>98</v>
      </c>
      <c r="C69" s="4" t="s">
        <v>47</v>
      </c>
      <c r="D69" s="4" t="s">
        <v>107</v>
      </c>
      <c r="E69" s="4" t="s">
        <v>108</v>
      </c>
      <c r="F69" s="7" t="s">
        <v>48</v>
      </c>
      <c r="G69" s="4" t="s">
        <v>81</v>
      </c>
      <c r="H69" s="5">
        <v>125</v>
      </c>
      <c r="I69" s="5">
        <v>105</v>
      </c>
      <c r="J69" s="6">
        <f t="shared" si="392"/>
        <v>0.84</v>
      </c>
      <c r="K69" s="5"/>
      <c r="L69" s="5"/>
      <c r="M69" s="5"/>
      <c r="N69" s="9">
        <v>22</v>
      </c>
      <c r="O69" s="46">
        <f t="shared" si="393"/>
        <v>0.20952380952380953</v>
      </c>
      <c r="P69" s="5">
        <v>4</v>
      </c>
      <c r="Q69" s="46">
        <f t="shared" ref="Q69" si="412">IFERROR(P69/$I69,"")</f>
        <v>3.8095238095238099E-2</v>
      </c>
      <c r="R69" s="5">
        <v>56</v>
      </c>
      <c r="S69" s="46">
        <f t="shared" ref="S69" si="413">IFERROR(R69/$I69,"")</f>
        <v>0.53333333333333333</v>
      </c>
      <c r="T69" s="5">
        <v>1</v>
      </c>
      <c r="U69" s="46">
        <f t="shared" ref="U69" si="414">IFERROR(T69/$I69,"")</f>
        <v>9.5238095238095247E-3</v>
      </c>
      <c r="V69" s="5">
        <v>24</v>
      </c>
      <c r="W69" s="46">
        <f t="shared" ref="W69" si="415">IFERROR(V69/$I69,"")</f>
        <v>0.22857142857142856</v>
      </c>
      <c r="X69" s="5">
        <v>18</v>
      </c>
      <c r="Y69" s="46">
        <f t="shared" ref="Y69" si="416">IFERROR(X69/$I69,"")</f>
        <v>0.17142857142857143</v>
      </c>
      <c r="Z69" s="5">
        <v>14</v>
      </c>
      <c r="AA69" s="46">
        <f t="shared" ref="AA69" si="417">IFERROR(Z69/$I69,"")</f>
        <v>0.13333333333333333</v>
      </c>
      <c r="AB69" s="5">
        <v>81</v>
      </c>
      <c r="AC69" s="46">
        <f t="shared" si="400"/>
        <v>0.64800000000000002</v>
      </c>
      <c r="AD69" s="5">
        <v>137</v>
      </c>
      <c r="AE69" s="5">
        <v>192955</v>
      </c>
      <c r="AF69" s="5">
        <f t="shared" si="401"/>
        <v>2382.1604938271603</v>
      </c>
      <c r="AG69" s="5">
        <v>2854.2300000000005</v>
      </c>
      <c r="AH69" s="49">
        <f t="shared" si="402"/>
        <v>27.183142857142862</v>
      </c>
      <c r="AI69" s="5">
        <v>108514.22</v>
      </c>
      <c r="AJ69" s="5">
        <v>15</v>
      </c>
      <c r="AK69" s="4">
        <v>36</v>
      </c>
      <c r="AL69" s="7">
        <v>34</v>
      </c>
      <c r="AM69" s="4">
        <v>2</v>
      </c>
      <c r="AN69" s="4">
        <v>0</v>
      </c>
      <c r="AO69" s="11">
        <f t="shared" si="403"/>
        <v>94.444444444444443</v>
      </c>
      <c r="AP69" s="50">
        <f t="shared" si="404"/>
        <v>0.28799999999999998</v>
      </c>
      <c r="AQ69" s="7">
        <v>5</v>
      </c>
      <c r="AR69" s="50">
        <f t="shared" si="405"/>
        <v>0.04</v>
      </c>
      <c r="AS69" s="4">
        <v>0</v>
      </c>
    </row>
    <row r="70" spans="1:45" ht="18" customHeight="1" x14ac:dyDescent="0.3">
      <c r="A70" s="4" t="s">
        <v>36</v>
      </c>
      <c r="B70" s="4" t="s">
        <v>98</v>
      </c>
      <c r="C70" s="4" t="s">
        <v>47</v>
      </c>
      <c r="D70" s="4" t="s">
        <v>109</v>
      </c>
      <c r="E70" s="4" t="s">
        <v>110</v>
      </c>
      <c r="F70" s="7" t="s">
        <v>48</v>
      </c>
      <c r="G70" s="4" t="s">
        <v>88</v>
      </c>
      <c r="H70" s="5">
        <v>94</v>
      </c>
      <c r="I70" s="5">
        <v>76</v>
      </c>
      <c r="J70" s="6">
        <f t="shared" si="392"/>
        <v>0.80851063829787229</v>
      </c>
      <c r="K70" s="5"/>
      <c r="L70" s="5"/>
      <c r="M70" s="5"/>
      <c r="N70" s="9">
        <v>4</v>
      </c>
      <c r="O70" s="46">
        <f t="shared" si="393"/>
        <v>5.2631578947368418E-2</v>
      </c>
      <c r="P70" s="5">
        <v>3</v>
      </c>
      <c r="Q70" s="46">
        <f t="shared" ref="Q70" si="418">IFERROR(P70/$I70,"")</f>
        <v>3.9473684210526314E-2</v>
      </c>
      <c r="R70" s="5">
        <v>48</v>
      </c>
      <c r="S70" s="46">
        <f t="shared" ref="S70" si="419">IFERROR(R70/$I70,"")</f>
        <v>0.63157894736842102</v>
      </c>
      <c r="T70" s="5">
        <v>0</v>
      </c>
      <c r="U70" s="46">
        <f t="shared" ref="U70" si="420">IFERROR(T70/$I70,"")</f>
        <v>0</v>
      </c>
      <c r="V70" s="5">
        <v>10</v>
      </c>
      <c r="W70" s="46">
        <f t="shared" ref="W70" si="421">IFERROR(V70/$I70,"")</f>
        <v>0.13157894736842105</v>
      </c>
      <c r="X70" s="5">
        <v>7</v>
      </c>
      <c r="Y70" s="46">
        <f t="shared" ref="Y70" si="422">IFERROR(X70/$I70,"")</f>
        <v>9.2105263157894732E-2</v>
      </c>
      <c r="Z70" s="5">
        <v>7</v>
      </c>
      <c r="AA70" s="46">
        <f t="shared" ref="AA70" si="423">IFERROR(Z70/$I70,"")</f>
        <v>9.2105263157894732E-2</v>
      </c>
      <c r="AB70" s="5">
        <v>69</v>
      </c>
      <c r="AC70" s="46">
        <f t="shared" si="400"/>
        <v>0.73404255319148937</v>
      </c>
      <c r="AD70" s="5">
        <v>98</v>
      </c>
      <c r="AE70" s="5">
        <v>157396</v>
      </c>
      <c r="AF70" s="5">
        <f t="shared" si="401"/>
        <v>2281.1014492753625</v>
      </c>
      <c r="AG70" s="5">
        <v>6618.82</v>
      </c>
      <c r="AH70" s="49">
        <f t="shared" si="402"/>
        <v>87.089736842105253</v>
      </c>
      <c r="AI70" s="5">
        <v>2403</v>
      </c>
      <c r="AJ70" s="5">
        <v>12</v>
      </c>
      <c r="AK70" s="4">
        <v>17</v>
      </c>
      <c r="AL70" s="7">
        <v>16</v>
      </c>
      <c r="AM70" s="4">
        <v>0</v>
      </c>
      <c r="AN70" s="4">
        <v>1</v>
      </c>
      <c r="AO70" s="11">
        <f t="shared" si="403"/>
        <v>88.235294117647058</v>
      </c>
      <c r="AP70" s="50">
        <f t="shared" si="404"/>
        <v>0.18085106382978725</v>
      </c>
      <c r="AQ70" s="7">
        <v>3</v>
      </c>
      <c r="AR70" s="50">
        <f t="shared" si="405"/>
        <v>3.1914893617021274E-2</v>
      </c>
      <c r="AS70" s="4">
        <v>0</v>
      </c>
    </row>
    <row r="71" spans="1:45" ht="18" customHeight="1" x14ac:dyDescent="0.3">
      <c r="A71" s="4" t="s">
        <v>36</v>
      </c>
      <c r="B71" s="4" t="s">
        <v>98</v>
      </c>
      <c r="C71" s="4" t="s">
        <v>47</v>
      </c>
      <c r="D71" s="4" t="s">
        <v>111</v>
      </c>
      <c r="E71" s="4" t="s">
        <v>112</v>
      </c>
      <c r="F71" s="7" t="s">
        <v>48</v>
      </c>
      <c r="G71" s="4" t="s">
        <v>61</v>
      </c>
      <c r="H71" s="5">
        <v>117</v>
      </c>
      <c r="I71" s="5">
        <v>107</v>
      </c>
      <c r="J71" s="6">
        <f t="shared" si="392"/>
        <v>0.9145299145299145</v>
      </c>
      <c r="K71" s="5"/>
      <c r="L71" s="5"/>
      <c r="M71" s="5"/>
      <c r="N71" s="9">
        <v>5</v>
      </c>
      <c r="O71" s="46">
        <f t="shared" si="393"/>
        <v>4.6728971962616821E-2</v>
      </c>
      <c r="P71" s="5">
        <v>4</v>
      </c>
      <c r="Q71" s="46">
        <f t="shared" ref="Q71" si="424">IFERROR(P71/$I71,"")</f>
        <v>3.7383177570093455E-2</v>
      </c>
      <c r="R71" s="5">
        <v>59</v>
      </c>
      <c r="S71" s="46">
        <f t="shared" ref="S71" si="425">IFERROR(R71/$I71,"")</f>
        <v>0.55140186915887845</v>
      </c>
      <c r="T71" s="5">
        <v>2</v>
      </c>
      <c r="U71" s="46">
        <f t="shared" ref="U71" si="426">IFERROR(T71/$I71,"")</f>
        <v>1.8691588785046728E-2</v>
      </c>
      <c r="V71" s="5">
        <v>26</v>
      </c>
      <c r="W71" s="46">
        <f t="shared" ref="W71" si="427">IFERROR(V71/$I71,"")</f>
        <v>0.24299065420560748</v>
      </c>
      <c r="X71" s="5">
        <v>25</v>
      </c>
      <c r="Y71" s="46">
        <f t="shared" ref="Y71" si="428">IFERROR(X71/$I71,"")</f>
        <v>0.23364485981308411</v>
      </c>
      <c r="Z71" s="5">
        <v>18</v>
      </c>
      <c r="AA71" s="46">
        <f t="shared" ref="AA71" si="429">IFERROR(Z71/$I71,"")</f>
        <v>0.16822429906542055</v>
      </c>
      <c r="AB71" s="5">
        <v>83</v>
      </c>
      <c r="AC71" s="46">
        <f t="shared" si="400"/>
        <v>0.70940170940170943</v>
      </c>
      <c r="AD71" s="5">
        <v>122</v>
      </c>
      <c r="AE71" s="5">
        <v>181857</v>
      </c>
      <c r="AF71" s="5">
        <f t="shared" si="401"/>
        <v>2191.0481927710844</v>
      </c>
      <c r="AG71" s="5">
        <v>2288.8500000000004</v>
      </c>
      <c r="AH71" s="49">
        <f t="shared" si="402"/>
        <v>21.391121495327106</v>
      </c>
      <c r="AI71" s="5">
        <v>15525</v>
      </c>
      <c r="AJ71" s="5">
        <v>10</v>
      </c>
      <c r="AK71" s="4">
        <v>23</v>
      </c>
      <c r="AL71" s="7">
        <v>21</v>
      </c>
      <c r="AM71" s="4">
        <v>2</v>
      </c>
      <c r="AN71" s="4">
        <v>0</v>
      </c>
      <c r="AO71" s="11">
        <f t="shared" si="403"/>
        <v>91.304347826086953</v>
      </c>
      <c r="AP71" s="50">
        <f t="shared" si="404"/>
        <v>0.19658119658119658</v>
      </c>
      <c r="AQ71" s="7">
        <v>0</v>
      </c>
      <c r="AR71" s="50">
        <f t="shared" si="405"/>
        <v>0</v>
      </c>
      <c r="AS71" s="4">
        <v>0</v>
      </c>
    </row>
    <row r="72" spans="1:45" ht="18" customHeight="1" x14ac:dyDescent="0.3">
      <c r="A72" s="4" t="s">
        <v>36</v>
      </c>
      <c r="B72" s="4" t="s">
        <v>98</v>
      </c>
      <c r="C72" s="4" t="s">
        <v>47</v>
      </c>
      <c r="D72" s="4" t="s">
        <v>113</v>
      </c>
      <c r="E72" s="4" t="s">
        <v>114</v>
      </c>
      <c r="F72" s="7" t="s">
        <v>48</v>
      </c>
      <c r="G72" s="4" t="s">
        <v>61</v>
      </c>
      <c r="H72" s="5">
        <v>100</v>
      </c>
      <c r="I72" s="5">
        <v>87</v>
      </c>
      <c r="J72" s="6">
        <f t="shared" si="392"/>
        <v>0.87</v>
      </c>
      <c r="K72" s="5"/>
      <c r="L72" s="5"/>
      <c r="M72" s="5"/>
      <c r="N72" s="9">
        <v>8</v>
      </c>
      <c r="O72" s="46">
        <f t="shared" si="393"/>
        <v>9.1954022988505746E-2</v>
      </c>
      <c r="P72" s="5">
        <v>4</v>
      </c>
      <c r="Q72" s="46">
        <f t="shared" ref="Q72" si="430">IFERROR(P72/$I72,"")</f>
        <v>4.5977011494252873E-2</v>
      </c>
      <c r="R72" s="5">
        <v>38</v>
      </c>
      <c r="S72" s="46">
        <f t="shared" ref="S72" si="431">IFERROR(R72/$I72,"")</f>
        <v>0.43678160919540232</v>
      </c>
      <c r="T72" s="5">
        <v>0</v>
      </c>
      <c r="U72" s="46">
        <f t="shared" ref="U72" si="432">IFERROR(T72/$I72,"")</f>
        <v>0</v>
      </c>
      <c r="V72" s="5">
        <v>9</v>
      </c>
      <c r="W72" s="46">
        <f t="shared" ref="W72" si="433">IFERROR(V72/$I72,"")</f>
        <v>0.10344827586206896</v>
      </c>
      <c r="X72" s="5">
        <v>11</v>
      </c>
      <c r="Y72" s="46">
        <f t="shared" ref="Y72" si="434">IFERROR(X72/$I72,"")</f>
        <v>0.12643678160919541</v>
      </c>
      <c r="Z72" s="5">
        <v>14</v>
      </c>
      <c r="AA72" s="46">
        <f t="shared" ref="AA72" si="435">IFERROR(Z72/$I72,"")</f>
        <v>0.16091954022988506</v>
      </c>
      <c r="AB72" s="5">
        <v>57</v>
      </c>
      <c r="AC72" s="46">
        <f t="shared" si="400"/>
        <v>0.56999999999999995</v>
      </c>
      <c r="AD72" s="5">
        <v>72</v>
      </c>
      <c r="AE72" s="5">
        <v>121103</v>
      </c>
      <c r="AF72" s="5">
        <f t="shared" si="401"/>
        <v>2124.6140350877195</v>
      </c>
      <c r="AG72" s="5">
        <v>1393.21</v>
      </c>
      <c r="AH72" s="49">
        <f t="shared" si="402"/>
        <v>16.013908045977011</v>
      </c>
      <c r="AI72" s="5">
        <v>30666</v>
      </c>
      <c r="AJ72" s="5">
        <v>6</v>
      </c>
      <c r="AK72" s="4">
        <v>15</v>
      </c>
      <c r="AL72" s="7">
        <v>14</v>
      </c>
      <c r="AM72" s="4">
        <v>1</v>
      </c>
      <c r="AN72" s="4">
        <v>0</v>
      </c>
      <c r="AO72" s="11">
        <f t="shared" si="403"/>
        <v>93.333333333333329</v>
      </c>
      <c r="AP72" s="50">
        <f t="shared" si="404"/>
        <v>0.15</v>
      </c>
      <c r="AQ72" s="7">
        <v>6</v>
      </c>
      <c r="AR72" s="50">
        <f t="shared" si="405"/>
        <v>0.06</v>
      </c>
      <c r="AS72" s="4">
        <v>0</v>
      </c>
    </row>
    <row r="73" spans="1:45" ht="18" customHeight="1" x14ac:dyDescent="0.3">
      <c r="A73" s="4" t="s">
        <v>36</v>
      </c>
      <c r="B73" s="4" t="s">
        <v>98</v>
      </c>
      <c r="C73" s="4" t="s">
        <v>47</v>
      </c>
      <c r="D73" s="4"/>
      <c r="E73" s="4" t="s">
        <v>148</v>
      </c>
      <c r="F73" s="7" t="s">
        <v>48</v>
      </c>
      <c r="G73" s="4" t="s">
        <v>61</v>
      </c>
      <c r="H73" s="5">
        <v>82</v>
      </c>
      <c r="I73" s="5">
        <v>70</v>
      </c>
      <c r="J73" s="6">
        <f t="shared" si="392"/>
        <v>0.85365853658536583</v>
      </c>
      <c r="K73" s="5"/>
      <c r="L73" s="5"/>
      <c r="M73" s="5"/>
      <c r="N73" s="10">
        <v>0</v>
      </c>
      <c r="O73" s="46">
        <f t="shared" si="393"/>
        <v>0</v>
      </c>
      <c r="P73" s="5">
        <v>0</v>
      </c>
      <c r="Q73" s="46">
        <f t="shared" ref="Q73" si="436">IFERROR(P73/$I73,"")</f>
        <v>0</v>
      </c>
      <c r="R73" s="5">
        <v>13</v>
      </c>
      <c r="S73" s="46">
        <f t="shared" ref="S73" si="437">IFERROR(R73/$I73,"")</f>
        <v>0.18571428571428572</v>
      </c>
      <c r="T73" s="5">
        <v>1</v>
      </c>
      <c r="U73" s="46">
        <f t="shared" ref="U73" si="438">IFERROR(T73/$I73,"")</f>
        <v>1.4285714285714285E-2</v>
      </c>
      <c r="V73" s="5">
        <v>3</v>
      </c>
      <c r="W73" s="46">
        <f t="shared" ref="W73" si="439">IFERROR(V73/$I73,"")</f>
        <v>4.2857142857142858E-2</v>
      </c>
      <c r="X73" s="5">
        <v>2</v>
      </c>
      <c r="Y73" s="46">
        <f t="shared" ref="Y73" si="440">IFERROR(X73/$I73,"")</f>
        <v>2.8571428571428571E-2</v>
      </c>
      <c r="Z73" s="5">
        <v>1</v>
      </c>
      <c r="AA73" s="46">
        <f t="shared" ref="AA73" si="441">IFERROR(Z73/$I73,"")</f>
        <v>1.4285714285714285E-2</v>
      </c>
      <c r="AB73" s="5">
        <v>15</v>
      </c>
      <c r="AC73" s="46">
        <f t="shared" si="400"/>
        <v>0.18292682926829268</v>
      </c>
      <c r="AD73" s="5">
        <v>18</v>
      </c>
      <c r="AE73" s="5">
        <v>20937</v>
      </c>
      <c r="AF73" s="5">
        <f t="shared" si="401"/>
        <v>1395.8</v>
      </c>
      <c r="AG73" s="5">
        <v>588.9</v>
      </c>
      <c r="AH73" s="49">
        <f t="shared" si="402"/>
        <v>8.4128571428571419</v>
      </c>
      <c r="AI73" s="5">
        <v>13141</v>
      </c>
      <c r="AJ73" s="5">
        <v>7</v>
      </c>
      <c r="AK73" s="4">
        <v>11</v>
      </c>
      <c r="AL73" s="7">
        <v>11</v>
      </c>
      <c r="AM73" s="4">
        <v>0</v>
      </c>
      <c r="AN73" s="4">
        <v>0</v>
      </c>
      <c r="AO73" s="11">
        <f t="shared" si="403"/>
        <v>100</v>
      </c>
      <c r="AP73" s="50">
        <f t="shared" si="404"/>
        <v>0.13414634146341464</v>
      </c>
      <c r="AQ73" s="7">
        <v>2</v>
      </c>
      <c r="AR73" s="50">
        <f t="shared" si="405"/>
        <v>2.4390243902439025E-2</v>
      </c>
      <c r="AS73" s="4">
        <v>0</v>
      </c>
    </row>
    <row r="74" spans="1:45" ht="18" customHeight="1" x14ac:dyDescent="0.3">
      <c r="A74" s="4" t="s">
        <v>36</v>
      </c>
      <c r="B74" s="4" t="s">
        <v>115</v>
      </c>
      <c r="C74" s="4" t="s">
        <v>47</v>
      </c>
      <c r="D74" s="4" t="s">
        <v>116</v>
      </c>
      <c r="E74" s="4" t="s">
        <v>117</v>
      </c>
      <c r="F74" s="7" t="s">
        <v>48</v>
      </c>
      <c r="G74" s="4" t="s">
        <v>49</v>
      </c>
      <c r="H74" s="5">
        <v>173</v>
      </c>
      <c r="I74" s="5">
        <v>144</v>
      </c>
      <c r="J74" s="6">
        <f t="shared" si="392"/>
        <v>0.83236994219653182</v>
      </c>
      <c r="K74" s="5"/>
      <c r="L74" s="5"/>
      <c r="M74" s="5"/>
      <c r="N74" s="9">
        <v>14</v>
      </c>
      <c r="O74" s="46">
        <f t="shared" si="393"/>
        <v>9.7222222222222224E-2</v>
      </c>
      <c r="P74" s="5">
        <v>7</v>
      </c>
      <c r="Q74" s="46">
        <f t="shared" ref="Q74" si="442">IFERROR(P74/$I74,"")</f>
        <v>4.8611111111111112E-2</v>
      </c>
      <c r="R74" s="5">
        <v>52</v>
      </c>
      <c r="S74" s="46">
        <f t="shared" ref="S74" si="443">IFERROR(R74/$I74,"")</f>
        <v>0.3611111111111111</v>
      </c>
      <c r="T74" s="5">
        <v>0</v>
      </c>
      <c r="U74" s="46">
        <f t="shared" ref="U74" si="444">IFERROR(T74/$I74,"")</f>
        <v>0</v>
      </c>
      <c r="V74" s="5">
        <v>13</v>
      </c>
      <c r="W74" s="46">
        <f t="shared" ref="W74" si="445">IFERROR(V74/$I74,"")</f>
        <v>9.0277777777777776E-2</v>
      </c>
      <c r="X74" s="5">
        <v>12</v>
      </c>
      <c r="Y74" s="46">
        <f t="shared" ref="Y74" si="446">IFERROR(X74/$I74,"")</f>
        <v>8.3333333333333329E-2</v>
      </c>
      <c r="Z74" s="5">
        <v>10</v>
      </c>
      <c r="AA74" s="46">
        <f t="shared" ref="AA74" si="447">IFERROR(Z74/$I74,"")</f>
        <v>6.9444444444444448E-2</v>
      </c>
      <c r="AB74" s="5">
        <v>37</v>
      </c>
      <c r="AC74" s="46">
        <f t="shared" si="400"/>
        <v>0.2138728323699422</v>
      </c>
      <c r="AD74" s="5">
        <v>37</v>
      </c>
      <c r="AE74" s="5">
        <v>50647</v>
      </c>
      <c r="AF74" s="5">
        <f t="shared" si="401"/>
        <v>1368.8378378378379</v>
      </c>
      <c r="AG74" s="5">
        <v>0</v>
      </c>
      <c r="AH74" s="49">
        <f t="shared" si="402"/>
        <v>0</v>
      </c>
      <c r="AI74" s="5">
        <v>27383.22</v>
      </c>
      <c r="AJ74" s="5">
        <v>21</v>
      </c>
      <c r="AK74" s="4">
        <v>27</v>
      </c>
      <c r="AL74" s="7">
        <v>24</v>
      </c>
      <c r="AM74" s="4">
        <v>1</v>
      </c>
      <c r="AN74" s="4">
        <v>2</v>
      </c>
      <c r="AO74" s="11">
        <f t="shared" si="403"/>
        <v>81.481481481481481</v>
      </c>
      <c r="AP74" s="50">
        <f t="shared" si="404"/>
        <v>0.15606936416184972</v>
      </c>
      <c r="AQ74" s="7">
        <v>5</v>
      </c>
      <c r="AR74" s="50">
        <f t="shared" si="405"/>
        <v>2.8901734104046242E-2</v>
      </c>
      <c r="AS74" s="4">
        <v>0</v>
      </c>
    </row>
    <row r="75" spans="1:45" ht="18" customHeight="1" x14ac:dyDescent="0.3">
      <c r="A75" s="4" t="s">
        <v>36</v>
      </c>
      <c r="B75" s="4" t="s">
        <v>118</v>
      </c>
      <c r="C75" s="4" t="s">
        <v>47</v>
      </c>
      <c r="D75" s="4" t="s">
        <v>119</v>
      </c>
      <c r="E75" s="4" t="s">
        <v>120</v>
      </c>
      <c r="F75" s="7" t="s">
        <v>48</v>
      </c>
      <c r="G75" s="4" t="s">
        <v>72</v>
      </c>
      <c r="H75" s="5">
        <v>83</v>
      </c>
      <c r="I75" s="5">
        <v>73</v>
      </c>
      <c r="J75" s="6">
        <f t="shared" si="392"/>
        <v>0.87951807228915657</v>
      </c>
      <c r="K75" s="5"/>
      <c r="L75" s="5"/>
      <c r="M75" s="5"/>
      <c r="N75" s="9">
        <v>7</v>
      </c>
      <c r="O75" s="46">
        <f t="shared" si="393"/>
        <v>9.5890410958904104E-2</v>
      </c>
      <c r="P75" s="5">
        <v>4</v>
      </c>
      <c r="Q75" s="46">
        <f t="shared" ref="Q75" si="448">IFERROR(P75/$I75,"")</f>
        <v>5.4794520547945202E-2</v>
      </c>
      <c r="R75" s="5">
        <v>39</v>
      </c>
      <c r="S75" s="46">
        <f t="shared" ref="S75" si="449">IFERROR(R75/$I75,"")</f>
        <v>0.53424657534246578</v>
      </c>
      <c r="T75" s="5">
        <v>0</v>
      </c>
      <c r="U75" s="46">
        <f t="shared" ref="U75" si="450">IFERROR(T75/$I75,"")</f>
        <v>0</v>
      </c>
      <c r="V75" s="5">
        <v>8</v>
      </c>
      <c r="W75" s="46">
        <f t="shared" ref="W75" si="451">IFERROR(V75/$I75,"")</f>
        <v>0.1095890410958904</v>
      </c>
      <c r="X75" s="5">
        <v>8</v>
      </c>
      <c r="Y75" s="46">
        <f t="shared" ref="Y75" si="452">IFERROR(X75/$I75,"")</f>
        <v>0.1095890410958904</v>
      </c>
      <c r="Z75" s="5">
        <v>6</v>
      </c>
      <c r="AA75" s="46">
        <f t="shared" ref="AA75" si="453">IFERROR(Z75/$I75,"")</f>
        <v>8.2191780821917804E-2</v>
      </c>
      <c r="AB75" s="5">
        <v>24</v>
      </c>
      <c r="AC75" s="46">
        <f t="shared" si="400"/>
        <v>0.28915662650602408</v>
      </c>
      <c r="AD75" s="5">
        <v>26</v>
      </c>
      <c r="AE75" s="5">
        <v>24377</v>
      </c>
      <c r="AF75" s="5">
        <f t="shared" si="401"/>
        <v>1015.7083333333334</v>
      </c>
      <c r="AG75" s="5">
        <v>338</v>
      </c>
      <c r="AH75" s="49">
        <f t="shared" si="402"/>
        <v>4.6301369863013697</v>
      </c>
      <c r="AI75" s="5">
        <v>8725.2199999999993</v>
      </c>
      <c r="AJ75" s="5">
        <v>0</v>
      </c>
      <c r="AK75" s="4">
        <v>21</v>
      </c>
      <c r="AL75" s="7">
        <v>21</v>
      </c>
      <c r="AM75" s="4">
        <v>0</v>
      </c>
      <c r="AN75" s="4">
        <v>0</v>
      </c>
      <c r="AO75" s="11">
        <f t="shared" si="403"/>
        <v>100</v>
      </c>
      <c r="AP75" s="50">
        <f t="shared" si="404"/>
        <v>0.25301204819277107</v>
      </c>
      <c r="AQ75" s="7">
        <v>3</v>
      </c>
      <c r="AR75" s="50">
        <f t="shared" si="405"/>
        <v>3.614457831325301E-2</v>
      </c>
      <c r="AS75" s="4">
        <v>0</v>
      </c>
    </row>
    <row r="76" spans="1:45" ht="18" customHeight="1" x14ac:dyDescent="0.3">
      <c r="A76" s="4" t="s">
        <v>36</v>
      </c>
      <c r="B76" s="4" t="s">
        <v>121</v>
      </c>
      <c r="C76" s="4" t="s">
        <v>47</v>
      </c>
      <c r="D76" s="4" t="s">
        <v>122</v>
      </c>
      <c r="E76" s="4" t="s">
        <v>123</v>
      </c>
      <c r="F76" s="7" t="s">
        <v>48</v>
      </c>
      <c r="G76" s="4" t="s">
        <v>49</v>
      </c>
      <c r="H76" s="5">
        <v>185</v>
      </c>
      <c r="I76" s="5">
        <v>158</v>
      </c>
      <c r="J76" s="6">
        <f t="shared" si="392"/>
        <v>0.8540540540540541</v>
      </c>
      <c r="K76" s="5"/>
      <c r="L76" s="5"/>
      <c r="M76" s="5"/>
      <c r="N76" s="9">
        <v>16</v>
      </c>
      <c r="O76" s="46">
        <f t="shared" si="393"/>
        <v>0.10126582278481013</v>
      </c>
      <c r="P76" s="5">
        <v>14</v>
      </c>
      <c r="Q76" s="46">
        <f t="shared" ref="Q76" si="454">IFERROR(P76/$I76,"")</f>
        <v>8.8607594936708861E-2</v>
      </c>
      <c r="R76" s="5">
        <v>72</v>
      </c>
      <c r="S76" s="46">
        <f t="shared" ref="S76" si="455">IFERROR(R76/$I76,"")</f>
        <v>0.45569620253164556</v>
      </c>
      <c r="T76" s="5">
        <v>0</v>
      </c>
      <c r="U76" s="46">
        <f t="shared" ref="U76" si="456">IFERROR(T76/$I76,"")</f>
        <v>0</v>
      </c>
      <c r="V76" s="5">
        <v>42</v>
      </c>
      <c r="W76" s="46">
        <f t="shared" ref="W76" si="457">IFERROR(V76/$I76,"")</f>
        <v>0.26582278481012656</v>
      </c>
      <c r="X76" s="5">
        <v>35</v>
      </c>
      <c r="Y76" s="46">
        <f t="shared" ref="Y76" si="458">IFERROR(X76/$I76,"")</f>
        <v>0.22151898734177214</v>
      </c>
      <c r="Z76" s="5">
        <v>49</v>
      </c>
      <c r="AA76" s="46">
        <f t="shared" ref="AA76" si="459">IFERROR(Z76/$I76,"")</f>
        <v>0.310126582278481</v>
      </c>
      <c r="AB76" s="5">
        <v>128</v>
      </c>
      <c r="AC76" s="46">
        <f t="shared" si="400"/>
        <v>0.69189189189189193</v>
      </c>
      <c r="AD76" s="5">
        <v>232</v>
      </c>
      <c r="AE76" s="5">
        <v>365345</v>
      </c>
      <c r="AF76" s="5">
        <f t="shared" si="401"/>
        <v>2854.2578125</v>
      </c>
      <c r="AG76" s="5">
        <v>6785.5499999999993</v>
      </c>
      <c r="AH76" s="49">
        <f t="shared" si="402"/>
        <v>42.946518987341769</v>
      </c>
      <c r="AI76" s="5">
        <v>45906</v>
      </c>
      <c r="AJ76" s="5">
        <v>30</v>
      </c>
      <c r="AK76" s="4">
        <v>29</v>
      </c>
      <c r="AL76" s="7">
        <v>26</v>
      </c>
      <c r="AM76" s="4">
        <v>1</v>
      </c>
      <c r="AN76" s="4">
        <v>2</v>
      </c>
      <c r="AO76" s="11">
        <f t="shared" si="403"/>
        <v>82.758620689655174</v>
      </c>
      <c r="AP76" s="50">
        <f t="shared" si="404"/>
        <v>0.15675675675675677</v>
      </c>
      <c r="AQ76" s="7">
        <v>9</v>
      </c>
      <c r="AR76" s="50">
        <f t="shared" si="405"/>
        <v>4.8648648648648651E-2</v>
      </c>
      <c r="AS76" s="4">
        <v>0</v>
      </c>
    </row>
    <row r="77" spans="1:45" ht="18" customHeight="1" x14ac:dyDescent="0.3">
      <c r="A77" s="4" t="s">
        <v>36</v>
      </c>
      <c r="B77" s="4" t="s">
        <v>121</v>
      </c>
      <c r="C77" s="4" t="s">
        <v>47</v>
      </c>
      <c r="D77" s="4" t="s">
        <v>124</v>
      </c>
      <c r="E77" s="4" t="s">
        <v>125</v>
      </c>
      <c r="F77" s="7" t="s">
        <v>48</v>
      </c>
      <c r="G77" s="4" t="s">
        <v>81</v>
      </c>
      <c r="H77" s="5">
        <v>178</v>
      </c>
      <c r="I77" s="5">
        <v>154</v>
      </c>
      <c r="J77" s="6">
        <f t="shared" si="392"/>
        <v>0.8651685393258427</v>
      </c>
      <c r="K77" s="5"/>
      <c r="L77" s="5"/>
      <c r="M77" s="5"/>
      <c r="N77" s="9">
        <v>8</v>
      </c>
      <c r="O77" s="46">
        <f t="shared" si="393"/>
        <v>5.1948051948051951E-2</v>
      </c>
      <c r="P77" s="5">
        <v>5</v>
      </c>
      <c r="Q77" s="46">
        <f t="shared" ref="Q77" si="460">IFERROR(P77/$I77,"")</f>
        <v>3.2467532467532464E-2</v>
      </c>
      <c r="R77" s="5">
        <v>56</v>
      </c>
      <c r="S77" s="46">
        <f t="shared" ref="S77" si="461">IFERROR(R77/$I77,"")</f>
        <v>0.36363636363636365</v>
      </c>
      <c r="T77" s="5">
        <v>0</v>
      </c>
      <c r="U77" s="46">
        <f t="shared" ref="U77" si="462">IFERROR(T77/$I77,"")</f>
        <v>0</v>
      </c>
      <c r="V77" s="5">
        <v>19</v>
      </c>
      <c r="W77" s="46">
        <f t="shared" ref="W77" si="463">IFERROR(V77/$I77,"")</f>
        <v>0.12337662337662338</v>
      </c>
      <c r="X77" s="5">
        <v>25</v>
      </c>
      <c r="Y77" s="46">
        <f t="shared" ref="Y77" si="464">IFERROR(X77/$I77,"")</f>
        <v>0.16233766233766234</v>
      </c>
      <c r="Z77" s="5">
        <v>61</v>
      </c>
      <c r="AA77" s="46">
        <f t="shared" ref="AA77" si="465">IFERROR(Z77/$I77,"")</f>
        <v>0.39610389610389612</v>
      </c>
      <c r="AB77" s="5">
        <v>105</v>
      </c>
      <c r="AC77" s="46">
        <f t="shared" si="400"/>
        <v>0.5898876404494382</v>
      </c>
      <c r="AD77" s="5">
        <v>140</v>
      </c>
      <c r="AE77" s="5">
        <v>220132</v>
      </c>
      <c r="AF77" s="5">
        <f t="shared" si="401"/>
        <v>2096.4952380952382</v>
      </c>
      <c r="AG77" s="5">
        <v>2830.4700000000003</v>
      </c>
      <c r="AH77" s="49">
        <f t="shared" si="402"/>
        <v>18.379675324675325</v>
      </c>
      <c r="AI77" s="5">
        <v>1288</v>
      </c>
      <c r="AJ77" s="5">
        <v>16</v>
      </c>
      <c r="AK77" s="4">
        <v>9</v>
      </c>
      <c r="AL77" s="7">
        <v>6</v>
      </c>
      <c r="AM77" s="4">
        <v>2</v>
      </c>
      <c r="AN77" s="4">
        <v>1</v>
      </c>
      <c r="AO77" s="11">
        <f t="shared" si="403"/>
        <v>55.555555555555557</v>
      </c>
      <c r="AP77" s="50">
        <f t="shared" si="404"/>
        <v>5.0561797752808987E-2</v>
      </c>
      <c r="AQ77" s="7">
        <v>3</v>
      </c>
      <c r="AR77" s="50">
        <f t="shared" si="405"/>
        <v>1.6853932584269662E-2</v>
      </c>
      <c r="AS77" s="4">
        <v>0</v>
      </c>
    </row>
    <row r="78" spans="1:45" ht="18" customHeight="1" x14ac:dyDescent="0.3">
      <c r="A78" s="4" t="s">
        <v>36</v>
      </c>
      <c r="B78" s="4" t="s">
        <v>121</v>
      </c>
      <c r="C78" s="4" t="s">
        <v>47</v>
      </c>
      <c r="D78" s="4" t="s">
        <v>126</v>
      </c>
      <c r="E78" s="4" t="s">
        <v>127</v>
      </c>
      <c r="F78" s="7" t="s">
        <v>48</v>
      </c>
      <c r="G78" s="4" t="s">
        <v>61</v>
      </c>
      <c r="H78" s="5">
        <v>200</v>
      </c>
      <c r="I78" s="5">
        <v>161</v>
      </c>
      <c r="J78" s="6">
        <f t="shared" si="392"/>
        <v>0.80500000000000005</v>
      </c>
      <c r="K78" s="5"/>
      <c r="L78" s="5"/>
      <c r="M78" s="5"/>
      <c r="N78" s="9">
        <v>29</v>
      </c>
      <c r="O78" s="46">
        <f t="shared" si="393"/>
        <v>0.18012422360248448</v>
      </c>
      <c r="P78" s="5">
        <v>12</v>
      </c>
      <c r="Q78" s="46">
        <f t="shared" ref="Q78" si="466">IFERROR(P78/$I78,"")</f>
        <v>7.4534161490683232E-2</v>
      </c>
      <c r="R78" s="5">
        <v>81</v>
      </c>
      <c r="S78" s="46">
        <f t="shared" ref="S78" si="467">IFERROR(R78/$I78,"")</f>
        <v>0.50310559006211175</v>
      </c>
      <c r="T78" s="5">
        <v>4</v>
      </c>
      <c r="U78" s="46">
        <f t="shared" ref="U78" si="468">IFERROR(T78/$I78,"")</f>
        <v>2.4844720496894408E-2</v>
      </c>
      <c r="V78" s="5">
        <v>34</v>
      </c>
      <c r="W78" s="46">
        <f t="shared" ref="W78" si="469">IFERROR(V78/$I78,"")</f>
        <v>0.21118012422360249</v>
      </c>
      <c r="X78" s="5">
        <v>38</v>
      </c>
      <c r="Y78" s="46">
        <f t="shared" ref="Y78" si="470">IFERROR(X78/$I78,"")</f>
        <v>0.2360248447204969</v>
      </c>
      <c r="Z78" s="5">
        <v>66</v>
      </c>
      <c r="AA78" s="46">
        <f t="shared" ref="AA78" si="471">IFERROR(Z78/$I78,"")</f>
        <v>0.40993788819875776</v>
      </c>
      <c r="AB78" s="5">
        <v>129</v>
      </c>
      <c r="AC78" s="46">
        <f t="shared" si="400"/>
        <v>0.64500000000000002</v>
      </c>
      <c r="AD78" s="5">
        <v>194</v>
      </c>
      <c r="AE78" s="5">
        <v>345891</v>
      </c>
      <c r="AF78" s="5">
        <f t="shared" si="401"/>
        <v>2681.3255813953488</v>
      </c>
      <c r="AG78" s="5">
        <v>4566.83</v>
      </c>
      <c r="AH78" s="49">
        <f t="shared" si="402"/>
        <v>28.365403726708074</v>
      </c>
      <c r="AI78" s="5">
        <v>10181</v>
      </c>
      <c r="AJ78" s="5">
        <v>17</v>
      </c>
      <c r="AK78" s="4">
        <v>21</v>
      </c>
      <c r="AL78" s="7">
        <v>15</v>
      </c>
      <c r="AM78" s="4">
        <v>3</v>
      </c>
      <c r="AN78" s="4">
        <v>3</v>
      </c>
      <c r="AO78" s="11">
        <f t="shared" si="403"/>
        <v>57.142857142857139</v>
      </c>
      <c r="AP78" s="50">
        <f t="shared" si="404"/>
        <v>0.105</v>
      </c>
      <c r="AQ78" s="7">
        <v>6</v>
      </c>
      <c r="AR78" s="50">
        <f t="shared" si="405"/>
        <v>0.03</v>
      </c>
      <c r="AS78" s="4">
        <v>0</v>
      </c>
    </row>
    <row r="79" spans="1:45" ht="18" customHeight="1" x14ac:dyDescent="0.3">
      <c r="A79" s="4" t="s">
        <v>36</v>
      </c>
      <c r="B79" s="4" t="s">
        <v>121</v>
      </c>
      <c r="C79" s="4" t="s">
        <v>47</v>
      </c>
      <c r="D79" s="4" t="s">
        <v>128</v>
      </c>
      <c r="E79" s="4" t="s">
        <v>129</v>
      </c>
      <c r="F79" s="7" t="s">
        <v>48</v>
      </c>
      <c r="G79" s="4" t="s">
        <v>57</v>
      </c>
      <c r="H79" s="5">
        <v>222</v>
      </c>
      <c r="I79" s="5">
        <v>183</v>
      </c>
      <c r="J79" s="6">
        <f t="shared" si="392"/>
        <v>0.82432432432432434</v>
      </c>
      <c r="K79" s="5"/>
      <c r="L79" s="5"/>
      <c r="M79" s="5"/>
      <c r="N79" s="9">
        <v>40</v>
      </c>
      <c r="O79" s="46">
        <f t="shared" si="393"/>
        <v>0.21857923497267759</v>
      </c>
      <c r="P79" s="5">
        <v>8</v>
      </c>
      <c r="Q79" s="46">
        <f t="shared" ref="Q79" si="472">IFERROR(P79/$I79,"")</f>
        <v>4.3715846994535519E-2</v>
      </c>
      <c r="R79" s="5">
        <v>72</v>
      </c>
      <c r="S79" s="46">
        <f t="shared" ref="S79" si="473">IFERROR(R79/$I79,"")</f>
        <v>0.39344262295081966</v>
      </c>
      <c r="T79" s="5">
        <v>1</v>
      </c>
      <c r="U79" s="46">
        <f t="shared" ref="U79" si="474">IFERROR(T79/$I79,"")</f>
        <v>5.4644808743169399E-3</v>
      </c>
      <c r="V79" s="5">
        <v>34</v>
      </c>
      <c r="W79" s="46">
        <f t="shared" ref="W79" si="475">IFERROR(V79/$I79,"")</f>
        <v>0.18579234972677597</v>
      </c>
      <c r="X79" s="5">
        <v>35</v>
      </c>
      <c r="Y79" s="46">
        <f t="shared" ref="Y79" si="476">IFERROR(X79/$I79,"")</f>
        <v>0.19125683060109289</v>
      </c>
      <c r="Z79" s="5">
        <v>48</v>
      </c>
      <c r="AA79" s="46">
        <f t="shared" ref="AA79" si="477">IFERROR(Z79/$I79,"")</f>
        <v>0.26229508196721313</v>
      </c>
      <c r="AB79" s="5">
        <v>136</v>
      </c>
      <c r="AC79" s="46">
        <f t="shared" si="400"/>
        <v>0.61261261261261257</v>
      </c>
      <c r="AD79" s="5">
        <v>175</v>
      </c>
      <c r="AE79" s="5">
        <v>289026</v>
      </c>
      <c r="AF79" s="5">
        <f t="shared" si="401"/>
        <v>2125.1911764705883</v>
      </c>
      <c r="AG79" s="5">
        <v>3637.11</v>
      </c>
      <c r="AH79" s="49">
        <f t="shared" si="402"/>
        <v>19.874918032786887</v>
      </c>
      <c r="AI79" s="5">
        <v>5161</v>
      </c>
      <c r="AJ79" s="5">
        <v>32</v>
      </c>
      <c r="AK79" s="4">
        <v>29</v>
      </c>
      <c r="AL79" s="7">
        <v>25</v>
      </c>
      <c r="AM79" s="4">
        <v>3</v>
      </c>
      <c r="AN79" s="4">
        <v>1</v>
      </c>
      <c r="AO79" s="11">
        <f t="shared" si="403"/>
        <v>82.758620689655174</v>
      </c>
      <c r="AP79" s="50">
        <f t="shared" si="404"/>
        <v>0.13063063063063063</v>
      </c>
      <c r="AQ79" s="7">
        <v>1</v>
      </c>
      <c r="AR79" s="50">
        <f t="shared" si="405"/>
        <v>4.5045045045045045E-3</v>
      </c>
      <c r="AS79" s="4">
        <v>0</v>
      </c>
    </row>
    <row r="80" spans="1:45" ht="18" customHeight="1" x14ac:dyDescent="0.3">
      <c r="A80" s="4" t="s">
        <v>36</v>
      </c>
      <c r="B80" s="4" t="s">
        <v>121</v>
      </c>
      <c r="C80" s="4" t="s">
        <v>47</v>
      </c>
      <c r="D80" s="4" t="s">
        <v>130</v>
      </c>
      <c r="E80" s="4" t="s">
        <v>131</v>
      </c>
      <c r="F80" s="7" t="s">
        <v>48</v>
      </c>
      <c r="G80" s="4" t="s">
        <v>88</v>
      </c>
      <c r="H80" s="5">
        <v>188</v>
      </c>
      <c r="I80" s="5">
        <v>155</v>
      </c>
      <c r="J80" s="6">
        <f t="shared" si="392"/>
        <v>0.82446808510638303</v>
      </c>
      <c r="K80" s="5"/>
      <c r="L80" s="5"/>
      <c r="M80" s="5"/>
      <c r="N80" s="9">
        <v>20</v>
      </c>
      <c r="O80" s="46">
        <f t="shared" si="393"/>
        <v>0.12903225806451613</v>
      </c>
      <c r="P80" s="5">
        <v>9</v>
      </c>
      <c r="Q80" s="46">
        <f t="shared" ref="Q80" si="478">IFERROR(P80/$I80,"")</f>
        <v>5.8064516129032261E-2</v>
      </c>
      <c r="R80" s="5">
        <v>66</v>
      </c>
      <c r="S80" s="46">
        <f t="shared" ref="S80" si="479">IFERROR(R80/$I80,"")</f>
        <v>0.4258064516129032</v>
      </c>
      <c r="T80" s="5">
        <v>2</v>
      </c>
      <c r="U80" s="46">
        <f t="shared" ref="U80" si="480">IFERROR(T80/$I80,"")</f>
        <v>1.2903225806451613E-2</v>
      </c>
      <c r="V80" s="5">
        <v>39</v>
      </c>
      <c r="W80" s="46">
        <f t="shared" ref="W80" si="481">IFERROR(V80/$I80,"")</f>
        <v>0.25161290322580643</v>
      </c>
      <c r="X80" s="5">
        <v>47</v>
      </c>
      <c r="Y80" s="46">
        <f t="shared" ref="Y80" si="482">IFERROR(X80/$I80,"")</f>
        <v>0.3032258064516129</v>
      </c>
      <c r="Z80" s="5">
        <v>77</v>
      </c>
      <c r="AA80" s="46">
        <f t="shared" ref="AA80" si="483">IFERROR(Z80/$I80,"")</f>
        <v>0.49677419354838709</v>
      </c>
      <c r="AB80" s="5">
        <v>149</v>
      </c>
      <c r="AC80" s="46">
        <f t="shared" si="400"/>
        <v>0.79255319148936165</v>
      </c>
      <c r="AD80" s="5">
        <v>247</v>
      </c>
      <c r="AE80" s="5">
        <v>327557</v>
      </c>
      <c r="AF80" s="5">
        <f t="shared" si="401"/>
        <v>2198.3691275167785</v>
      </c>
      <c r="AG80" s="5">
        <v>6706.61</v>
      </c>
      <c r="AH80" s="49">
        <f t="shared" si="402"/>
        <v>43.26845161290322</v>
      </c>
      <c r="AI80" s="5">
        <v>347</v>
      </c>
      <c r="AJ80" s="5">
        <v>34</v>
      </c>
      <c r="AK80" s="4">
        <v>20</v>
      </c>
      <c r="AL80" s="7">
        <v>15</v>
      </c>
      <c r="AM80" s="4">
        <v>3</v>
      </c>
      <c r="AN80" s="4">
        <v>2</v>
      </c>
      <c r="AO80" s="11">
        <f t="shared" si="403"/>
        <v>65</v>
      </c>
      <c r="AP80" s="50">
        <f t="shared" si="404"/>
        <v>0.10638297872340426</v>
      </c>
      <c r="AQ80" s="7">
        <v>9</v>
      </c>
      <c r="AR80" s="50">
        <f t="shared" si="405"/>
        <v>4.7872340425531915E-2</v>
      </c>
      <c r="AS80" s="4">
        <v>0</v>
      </c>
    </row>
    <row r="81" spans="1:45" ht="18" customHeight="1" x14ac:dyDescent="0.3">
      <c r="A81" s="4" t="s">
        <v>36</v>
      </c>
      <c r="B81" s="4" t="s">
        <v>121</v>
      </c>
      <c r="C81" s="4" t="s">
        <v>47</v>
      </c>
      <c r="D81" s="4" t="s">
        <v>132</v>
      </c>
      <c r="E81" s="4" t="s">
        <v>133</v>
      </c>
      <c r="F81" s="7" t="s">
        <v>48</v>
      </c>
      <c r="G81" s="4" t="s">
        <v>81</v>
      </c>
      <c r="H81" s="5">
        <v>198</v>
      </c>
      <c r="I81" s="5">
        <v>163</v>
      </c>
      <c r="J81" s="6">
        <f t="shared" si="392"/>
        <v>0.8232323232323232</v>
      </c>
      <c r="K81" s="5"/>
      <c r="L81" s="5"/>
      <c r="M81" s="5"/>
      <c r="N81" s="9">
        <v>20</v>
      </c>
      <c r="O81" s="46">
        <f t="shared" si="393"/>
        <v>0.12269938650306748</v>
      </c>
      <c r="P81" s="5">
        <v>10</v>
      </c>
      <c r="Q81" s="46">
        <f t="shared" ref="Q81" si="484">IFERROR(P81/$I81,"")</f>
        <v>6.1349693251533742E-2</v>
      </c>
      <c r="R81" s="5">
        <v>80</v>
      </c>
      <c r="S81" s="46">
        <f t="shared" ref="S81" si="485">IFERROR(R81/$I81,"")</f>
        <v>0.49079754601226994</v>
      </c>
      <c r="T81" s="5">
        <v>0</v>
      </c>
      <c r="U81" s="46">
        <f t="shared" ref="U81" si="486">IFERROR(T81/$I81,"")</f>
        <v>0</v>
      </c>
      <c r="V81" s="5">
        <v>39</v>
      </c>
      <c r="W81" s="46">
        <f t="shared" ref="W81" si="487">IFERROR(V81/$I81,"")</f>
        <v>0.2392638036809816</v>
      </c>
      <c r="X81" s="5">
        <v>44</v>
      </c>
      <c r="Y81" s="46">
        <f t="shared" ref="Y81" si="488">IFERROR(X81/$I81,"")</f>
        <v>0.26993865030674846</v>
      </c>
      <c r="Z81" s="5">
        <v>66</v>
      </c>
      <c r="AA81" s="46">
        <f t="shared" ref="AA81" si="489">IFERROR(Z81/$I81,"")</f>
        <v>0.40490797546012269</v>
      </c>
      <c r="AB81" s="5">
        <v>141</v>
      </c>
      <c r="AC81" s="46">
        <f t="shared" si="400"/>
        <v>0.71212121212121215</v>
      </c>
      <c r="AD81" s="5">
        <v>189</v>
      </c>
      <c r="AE81" s="5">
        <v>254139</v>
      </c>
      <c r="AF81" s="5">
        <f t="shared" si="401"/>
        <v>1802.4042553191489</v>
      </c>
      <c r="AG81" s="5">
        <v>5533.3000000000011</v>
      </c>
      <c r="AH81" s="49">
        <f t="shared" si="402"/>
        <v>33.946625766871172</v>
      </c>
      <c r="AI81" s="5">
        <v>40835</v>
      </c>
      <c r="AJ81" s="5">
        <v>34</v>
      </c>
      <c r="AK81" s="4">
        <v>13</v>
      </c>
      <c r="AL81" s="7">
        <v>10</v>
      </c>
      <c r="AM81" s="4">
        <v>2</v>
      </c>
      <c r="AN81" s="4">
        <v>1</v>
      </c>
      <c r="AO81" s="11">
        <f t="shared" si="403"/>
        <v>69.230769230769226</v>
      </c>
      <c r="AP81" s="50">
        <f t="shared" si="404"/>
        <v>6.5656565656565663E-2</v>
      </c>
      <c r="AQ81" s="7">
        <v>3</v>
      </c>
      <c r="AR81" s="50">
        <f t="shared" si="405"/>
        <v>1.5151515151515152E-2</v>
      </c>
      <c r="AS81" s="4">
        <v>0</v>
      </c>
    </row>
    <row r="82" spans="1:45" ht="18" customHeight="1" x14ac:dyDescent="0.3">
      <c r="A82" s="4" t="s">
        <v>36</v>
      </c>
      <c r="B82" s="4" t="s">
        <v>121</v>
      </c>
      <c r="C82" s="4" t="s">
        <v>47</v>
      </c>
      <c r="D82" s="4" t="s">
        <v>134</v>
      </c>
      <c r="E82" s="4" t="s">
        <v>135</v>
      </c>
      <c r="F82" s="7" t="s">
        <v>48</v>
      </c>
      <c r="G82" s="4" t="s">
        <v>61</v>
      </c>
      <c r="H82" s="5">
        <v>147</v>
      </c>
      <c r="I82" s="5">
        <v>117</v>
      </c>
      <c r="J82" s="6">
        <f t="shared" si="392"/>
        <v>0.79591836734693877</v>
      </c>
      <c r="K82" s="5"/>
      <c r="L82" s="5"/>
      <c r="M82" s="5"/>
      <c r="N82" s="9">
        <v>4</v>
      </c>
      <c r="O82" s="46">
        <f t="shared" si="393"/>
        <v>3.4188034188034191E-2</v>
      </c>
      <c r="P82" s="5">
        <v>3</v>
      </c>
      <c r="Q82" s="46">
        <f t="shared" ref="Q82" si="490">IFERROR(P82/$I82,"")</f>
        <v>2.564102564102564E-2</v>
      </c>
      <c r="R82" s="5">
        <v>42</v>
      </c>
      <c r="S82" s="46">
        <f t="shared" ref="S82" si="491">IFERROR(R82/$I82,"")</f>
        <v>0.35897435897435898</v>
      </c>
      <c r="T82" s="5">
        <v>0</v>
      </c>
      <c r="U82" s="46">
        <f t="shared" ref="U82" si="492">IFERROR(T82/$I82,"")</f>
        <v>0</v>
      </c>
      <c r="V82" s="5">
        <v>14</v>
      </c>
      <c r="W82" s="46">
        <f t="shared" ref="W82" si="493">IFERROR(V82/$I82,"")</f>
        <v>0.11965811965811966</v>
      </c>
      <c r="X82" s="5">
        <v>17</v>
      </c>
      <c r="Y82" s="46">
        <f t="shared" ref="Y82" si="494">IFERROR(X82/$I82,"")</f>
        <v>0.14529914529914531</v>
      </c>
      <c r="Z82" s="5">
        <v>16</v>
      </c>
      <c r="AA82" s="46">
        <f t="shared" ref="AA82" si="495">IFERROR(Z82/$I82,"")</f>
        <v>0.13675213675213677</v>
      </c>
      <c r="AB82" s="5">
        <v>67</v>
      </c>
      <c r="AC82" s="46">
        <f t="shared" si="400"/>
        <v>0.45578231292517007</v>
      </c>
      <c r="AD82" s="5">
        <v>72</v>
      </c>
      <c r="AE82" s="5">
        <v>87709</v>
      </c>
      <c r="AF82" s="5">
        <f t="shared" si="401"/>
        <v>1309.0895522388059</v>
      </c>
      <c r="AG82" s="5">
        <v>995.66</v>
      </c>
      <c r="AH82" s="49">
        <f t="shared" si="402"/>
        <v>8.5099145299145302</v>
      </c>
      <c r="AI82" s="5">
        <v>12369.22</v>
      </c>
      <c r="AJ82" s="5">
        <v>24</v>
      </c>
      <c r="AK82" s="4">
        <v>15</v>
      </c>
      <c r="AL82" s="7">
        <v>12</v>
      </c>
      <c r="AM82" s="4">
        <v>0</v>
      </c>
      <c r="AN82" s="4">
        <v>3</v>
      </c>
      <c r="AO82" s="11">
        <f t="shared" si="403"/>
        <v>60</v>
      </c>
      <c r="AP82" s="50">
        <f t="shared" si="404"/>
        <v>0.10204081632653061</v>
      </c>
      <c r="AQ82" s="7">
        <v>5</v>
      </c>
      <c r="AR82" s="50">
        <f t="shared" si="405"/>
        <v>3.4013605442176874E-2</v>
      </c>
      <c r="AS82" s="4">
        <v>0</v>
      </c>
    </row>
    <row r="83" spans="1:45" ht="18" customHeight="1" x14ac:dyDescent="0.3">
      <c r="A83" s="4" t="s">
        <v>36</v>
      </c>
      <c r="B83" s="4" t="s">
        <v>136</v>
      </c>
      <c r="C83" s="4" t="s">
        <v>47</v>
      </c>
      <c r="D83" s="4" t="s">
        <v>137</v>
      </c>
      <c r="E83" s="4" t="s">
        <v>138</v>
      </c>
      <c r="F83" s="7" t="s">
        <v>48</v>
      </c>
      <c r="G83" s="4" t="s">
        <v>49</v>
      </c>
      <c r="H83" s="5">
        <v>133</v>
      </c>
      <c r="I83" s="5">
        <v>96</v>
      </c>
      <c r="J83" s="6">
        <f t="shared" si="392"/>
        <v>0.72180451127819545</v>
      </c>
      <c r="K83" s="5"/>
      <c r="L83" s="5"/>
      <c r="M83" s="5"/>
      <c r="N83" s="9">
        <v>8</v>
      </c>
      <c r="O83" s="46">
        <f t="shared" si="393"/>
        <v>8.3333333333333329E-2</v>
      </c>
      <c r="P83" s="5">
        <v>6</v>
      </c>
      <c r="Q83" s="46">
        <f t="shared" ref="Q83" si="496">IFERROR(P83/$I83,"")</f>
        <v>6.25E-2</v>
      </c>
      <c r="R83" s="5">
        <v>34</v>
      </c>
      <c r="S83" s="46">
        <f t="shared" ref="S83" si="497">IFERROR(R83/$I83,"")</f>
        <v>0.35416666666666669</v>
      </c>
      <c r="T83" s="5">
        <v>1</v>
      </c>
      <c r="U83" s="46">
        <f t="shared" ref="U83" si="498">IFERROR(T83/$I83,"")</f>
        <v>1.0416666666666666E-2</v>
      </c>
      <c r="V83" s="5">
        <v>17</v>
      </c>
      <c r="W83" s="46">
        <f t="shared" ref="W83" si="499">IFERROR(V83/$I83,"")</f>
        <v>0.17708333333333334</v>
      </c>
      <c r="X83" s="5">
        <v>17</v>
      </c>
      <c r="Y83" s="46">
        <f t="shared" ref="Y83" si="500">IFERROR(X83/$I83,"")</f>
        <v>0.17708333333333334</v>
      </c>
      <c r="Z83" s="5">
        <v>14</v>
      </c>
      <c r="AA83" s="46">
        <f t="shared" ref="AA83" si="501">IFERROR(Z83/$I83,"")</f>
        <v>0.14583333333333334</v>
      </c>
      <c r="AB83" s="5">
        <v>61</v>
      </c>
      <c r="AC83" s="46">
        <f t="shared" si="400"/>
        <v>0.45864661654135336</v>
      </c>
      <c r="AD83" s="5">
        <v>82</v>
      </c>
      <c r="AE83" s="5">
        <v>100676</v>
      </c>
      <c r="AF83" s="5">
        <f t="shared" si="401"/>
        <v>1650.4262295081967</v>
      </c>
      <c r="AG83" s="5">
        <v>0</v>
      </c>
      <c r="AH83" s="49">
        <f t="shared" si="402"/>
        <v>0</v>
      </c>
      <c r="AI83" s="5">
        <v>18695</v>
      </c>
      <c r="AJ83" s="5">
        <v>0</v>
      </c>
      <c r="AK83" s="4">
        <v>27</v>
      </c>
      <c r="AL83" s="7">
        <v>25</v>
      </c>
      <c r="AM83" s="4">
        <v>2</v>
      </c>
      <c r="AN83" s="4">
        <v>0</v>
      </c>
      <c r="AO83" s="11">
        <f t="shared" si="403"/>
        <v>92.592592592592595</v>
      </c>
      <c r="AP83" s="50">
        <f t="shared" si="404"/>
        <v>0.20300751879699247</v>
      </c>
      <c r="AQ83" s="7">
        <v>2</v>
      </c>
      <c r="AR83" s="50">
        <f t="shared" si="405"/>
        <v>1.5037593984962405E-2</v>
      </c>
      <c r="AS83" s="4">
        <v>0</v>
      </c>
    </row>
    <row r="84" spans="1:45" ht="18" customHeight="1" x14ac:dyDescent="0.3">
      <c r="A84" s="4" t="s">
        <v>36</v>
      </c>
      <c r="B84" s="4" t="s">
        <v>139</v>
      </c>
      <c r="C84" s="4" t="s">
        <v>47</v>
      </c>
      <c r="D84" s="4" t="s">
        <v>140</v>
      </c>
      <c r="E84" s="4" t="s">
        <v>141</v>
      </c>
      <c r="F84" s="7" t="s">
        <v>48</v>
      </c>
      <c r="G84" s="4" t="s">
        <v>142</v>
      </c>
      <c r="H84" s="5">
        <v>171</v>
      </c>
      <c r="I84" s="5">
        <v>133</v>
      </c>
      <c r="J84" s="6">
        <f t="shared" si="392"/>
        <v>0.77777777777777779</v>
      </c>
      <c r="K84" s="5"/>
      <c r="L84" s="5"/>
      <c r="M84" s="5"/>
      <c r="N84" s="9">
        <v>12</v>
      </c>
      <c r="O84" s="46">
        <f t="shared" si="393"/>
        <v>9.0225563909774431E-2</v>
      </c>
      <c r="P84" s="5">
        <v>6</v>
      </c>
      <c r="Q84" s="46">
        <f t="shared" ref="Q84" si="502">IFERROR(P84/$I84,"")</f>
        <v>4.5112781954887216E-2</v>
      </c>
      <c r="R84" s="5">
        <v>54</v>
      </c>
      <c r="S84" s="46">
        <f t="shared" ref="S84" si="503">IFERROR(R84/$I84,"")</f>
        <v>0.40601503759398494</v>
      </c>
      <c r="T84" s="5">
        <v>3</v>
      </c>
      <c r="U84" s="46">
        <f t="shared" ref="U84" si="504">IFERROR(T84/$I84,"")</f>
        <v>2.2556390977443608E-2</v>
      </c>
      <c r="V84" s="5">
        <v>25</v>
      </c>
      <c r="W84" s="46">
        <f t="shared" ref="W84" si="505">IFERROR(V84/$I84,"")</f>
        <v>0.18796992481203006</v>
      </c>
      <c r="X84" s="5">
        <v>20</v>
      </c>
      <c r="Y84" s="46">
        <f t="shared" ref="Y84" si="506">IFERROR(X84/$I84,"")</f>
        <v>0.15037593984962405</v>
      </c>
      <c r="Z84" s="5">
        <v>6</v>
      </c>
      <c r="AA84" s="46">
        <f t="shared" ref="AA84" si="507">IFERROR(Z84/$I84,"")</f>
        <v>4.5112781954887216E-2</v>
      </c>
      <c r="AB84" s="5">
        <v>69</v>
      </c>
      <c r="AC84" s="46">
        <f t="shared" si="400"/>
        <v>0.40350877192982454</v>
      </c>
      <c r="AD84" s="5">
        <v>79</v>
      </c>
      <c r="AE84" s="5">
        <v>102370</v>
      </c>
      <c r="AF84" s="5">
        <f t="shared" si="401"/>
        <v>1483.623188405797</v>
      </c>
      <c r="AG84" s="5">
        <v>0</v>
      </c>
      <c r="AH84" s="49">
        <f t="shared" si="402"/>
        <v>0</v>
      </c>
      <c r="AI84" s="5">
        <v>740</v>
      </c>
      <c r="AJ84" s="5">
        <v>0</v>
      </c>
      <c r="AK84" s="4">
        <v>15</v>
      </c>
      <c r="AL84" s="7">
        <v>15</v>
      </c>
      <c r="AM84" s="4">
        <v>0</v>
      </c>
      <c r="AN84" s="4">
        <v>0</v>
      </c>
      <c r="AO84" s="11">
        <f t="shared" si="403"/>
        <v>100</v>
      </c>
      <c r="AP84" s="50">
        <f t="shared" si="404"/>
        <v>8.771929824561403E-2</v>
      </c>
      <c r="AQ84" s="7">
        <v>7</v>
      </c>
      <c r="AR84" s="50">
        <f t="shared" si="405"/>
        <v>4.0935672514619881E-2</v>
      </c>
      <c r="AS84" s="4">
        <v>0</v>
      </c>
    </row>
    <row r="85" spans="1:45" ht="18" customHeight="1" x14ac:dyDescent="0.3">
      <c r="A85" s="4" t="s">
        <v>36</v>
      </c>
      <c r="B85" s="4" t="s">
        <v>143</v>
      </c>
      <c r="C85" s="4" t="s">
        <v>47</v>
      </c>
      <c r="D85" s="4" t="s">
        <v>144</v>
      </c>
      <c r="E85" s="4" t="s">
        <v>145</v>
      </c>
      <c r="F85" s="7" t="s">
        <v>48</v>
      </c>
      <c r="G85" s="4" t="s">
        <v>57</v>
      </c>
      <c r="H85" s="5">
        <v>145</v>
      </c>
      <c r="I85" s="5">
        <v>110</v>
      </c>
      <c r="J85" s="6">
        <f t="shared" si="392"/>
        <v>0.75862068965517238</v>
      </c>
      <c r="K85" s="5"/>
      <c r="L85" s="5"/>
      <c r="M85" s="5"/>
      <c r="N85" s="9">
        <v>8</v>
      </c>
      <c r="O85" s="46">
        <f t="shared" si="393"/>
        <v>7.2727272727272724E-2</v>
      </c>
      <c r="P85" s="5">
        <v>5</v>
      </c>
      <c r="Q85" s="46">
        <f t="shared" ref="Q85" si="508">IFERROR(P85/$I85,"")</f>
        <v>4.5454545454545456E-2</v>
      </c>
      <c r="R85" s="5">
        <v>36</v>
      </c>
      <c r="S85" s="46">
        <f t="shared" ref="S85" si="509">IFERROR(R85/$I85,"")</f>
        <v>0.32727272727272727</v>
      </c>
      <c r="T85" s="5">
        <v>0</v>
      </c>
      <c r="U85" s="46">
        <f t="shared" ref="U85" si="510">IFERROR(T85/$I85,"")</f>
        <v>0</v>
      </c>
      <c r="V85" s="5">
        <v>19</v>
      </c>
      <c r="W85" s="46">
        <f t="shared" ref="W85" si="511">IFERROR(V85/$I85,"")</f>
        <v>0.17272727272727273</v>
      </c>
      <c r="X85" s="5">
        <v>20</v>
      </c>
      <c r="Y85" s="46">
        <f t="shared" ref="Y85" si="512">IFERROR(X85/$I85,"")</f>
        <v>0.18181818181818182</v>
      </c>
      <c r="Z85" s="5">
        <v>4</v>
      </c>
      <c r="AA85" s="46">
        <f t="shared" ref="AA85" si="513">IFERROR(Z85/$I85,"")</f>
        <v>3.6363636363636362E-2</v>
      </c>
      <c r="AB85" s="5">
        <v>83</v>
      </c>
      <c r="AC85" s="46">
        <f t="shared" si="400"/>
        <v>0.57241379310344831</v>
      </c>
      <c r="AD85" s="5">
        <v>104</v>
      </c>
      <c r="AE85" s="5">
        <v>129452</v>
      </c>
      <c r="AF85" s="5">
        <f t="shared" si="401"/>
        <v>1559.6626506024097</v>
      </c>
      <c r="AG85" s="5">
        <v>885.93999999999994</v>
      </c>
      <c r="AH85" s="49">
        <f t="shared" si="402"/>
        <v>8.0540000000000003</v>
      </c>
      <c r="AI85" s="5">
        <v>0</v>
      </c>
      <c r="AJ85" s="5">
        <v>0</v>
      </c>
      <c r="AK85" s="4">
        <v>26</v>
      </c>
      <c r="AL85" s="7">
        <v>22</v>
      </c>
      <c r="AM85" s="4">
        <v>2</v>
      </c>
      <c r="AN85" s="4">
        <v>2</v>
      </c>
      <c r="AO85" s="11">
        <f t="shared" si="403"/>
        <v>76.923076923076934</v>
      </c>
      <c r="AP85" s="50">
        <f t="shared" si="404"/>
        <v>0.1793103448275862</v>
      </c>
      <c r="AQ85" s="7">
        <v>0</v>
      </c>
      <c r="AR85" s="50">
        <f t="shared" si="405"/>
        <v>0</v>
      </c>
      <c r="AS85" s="4">
        <v>0</v>
      </c>
    </row>
    <row r="86" spans="1:45" ht="18" customHeight="1" x14ac:dyDescent="0.3">
      <c r="A86" s="4" t="s">
        <v>37</v>
      </c>
      <c r="B86" s="4" t="s">
        <v>4</v>
      </c>
      <c r="C86" s="4" t="s">
        <v>47</v>
      </c>
      <c r="D86" s="4" t="s">
        <v>35</v>
      </c>
      <c r="E86" s="4" t="s">
        <v>2</v>
      </c>
      <c r="F86" s="7" t="s">
        <v>48</v>
      </c>
      <c r="G86" s="4" t="s">
        <v>49</v>
      </c>
      <c r="H86" s="5">
        <v>127</v>
      </c>
      <c r="I86" s="5">
        <v>96</v>
      </c>
      <c r="J86" s="6">
        <f t="shared" si="392"/>
        <v>0.75590551181102361</v>
      </c>
      <c r="K86" s="5">
        <v>88</v>
      </c>
      <c r="L86" s="5">
        <v>30</v>
      </c>
      <c r="M86" s="5">
        <v>18</v>
      </c>
      <c r="N86" s="9">
        <v>19</v>
      </c>
      <c r="O86" s="46">
        <f t="shared" si="393"/>
        <v>0.19791666666666666</v>
      </c>
      <c r="P86" s="5">
        <v>3</v>
      </c>
      <c r="Q86" s="46">
        <f t="shared" ref="Q86" si="514">IFERROR(P86/$I86,"")</f>
        <v>3.125E-2</v>
      </c>
      <c r="R86" s="5">
        <v>45</v>
      </c>
      <c r="S86" s="46">
        <f t="shared" ref="S86" si="515">IFERROR(R86/$I86,"")</f>
        <v>0.46875</v>
      </c>
      <c r="T86" s="5">
        <v>0</v>
      </c>
      <c r="U86" s="46">
        <f t="shared" ref="U86" si="516">IFERROR(T86/$I86,"")</f>
        <v>0</v>
      </c>
      <c r="V86" s="5">
        <v>19</v>
      </c>
      <c r="W86" s="46">
        <f t="shared" ref="W86" si="517">IFERROR(V86/$I86,"")</f>
        <v>0.19791666666666666</v>
      </c>
      <c r="X86" s="5">
        <v>23</v>
      </c>
      <c r="Y86" s="46">
        <f t="shared" ref="Y86" si="518">IFERROR(X86/$I86,"")</f>
        <v>0.23958333333333334</v>
      </c>
      <c r="Z86" s="5">
        <v>18</v>
      </c>
      <c r="AA86" s="46">
        <f t="shared" ref="AA86" si="519">IFERROR(Z86/$I86,"")</f>
        <v>0.1875</v>
      </c>
      <c r="AB86" s="5">
        <v>64</v>
      </c>
      <c r="AC86" s="46">
        <f t="shared" si="400"/>
        <v>0.50393700787401574</v>
      </c>
      <c r="AD86" s="5">
        <v>74</v>
      </c>
      <c r="AE86" s="5">
        <v>124047</v>
      </c>
      <c r="AF86" s="5">
        <f t="shared" si="401"/>
        <v>1938.234375</v>
      </c>
      <c r="AG86" s="5">
        <v>0</v>
      </c>
      <c r="AH86" s="49">
        <f t="shared" si="402"/>
        <v>0</v>
      </c>
      <c r="AI86" s="5">
        <v>0</v>
      </c>
      <c r="AJ86" s="5">
        <v>19</v>
      </c>
      <c r="AK86" s="4">
        <v>19</v>
      </c>
      <c r="AL86" s="7">
        <v>18</v>
      </c>
      <c r="AM86" s="4">
        <v>1</v>
      </c>
      <c r="AN86" s="4">
        <v>0</v>
      </c>
      <c r="AO86" s="11">
        <f t="shared" si="403"/>
        <v>94.73684210526315</v>
      </c>
      <c r="AP86" s="50">
        <f t="shared" si="404"/>
        <v>0.14960629921259844</v>
      </c>
      <c r="AQ86" s="7">
        <v>127</v>
      </c>
      <c r="AR86" s="50">
        <f t="shared" si="405"/>
        <v>1</v>
      </c>
      <c r="AS86" s="4"/>
    </row>
    <row r="87" spans="1:45" ht="18" customHeight="1" x14ac:dyDescent="0.3">
      <c r="A87" s="4" t="s">
        <v>37</v>
      </c>
      <c r="B87" s="4" t="s">
        <v>4</v>
      </c>
      <c r="C87" s="4" t="s">
        <v>47</v>
      </c>
      <c r="D87" s="4" t="s">
        <v>50</v>
      </c>
      <c r="E87" s="4" t="s">
        <v>51</v>
      </c>
      <c r="F87" s="7" t="s">
        <v>48</v>
      </c>
      <c r="G87" s="4" t="s">
        <v>49</v>
      </c>
      <c r="H87" s="5">
        <v>156</v>
      </c>
      <c r="I87" s="5">
        <v>114</v>
      </c>
      <c r="J87" s="6">
        <f t="shared" si="392"/>
        <v>0.73076923076923073</v>
      </c>
      <c r="K87" s="5">
        <v>101</v>
      </c>
      <c r="L87" s="5">
        <v>38</v>
      </c>
      <c r="M87" s="5">
        <v>23</v>
      </c>
      <c r="N87" s="9">
        <v>15</v>
      </c>
      <c r="O87" s="46">
        <f t="shared" si="393"/>
        <v>0.13157894736842105</v>
      </c>
      <c r="P87" s="5">
        <v>6</v>
      </c>
      <c r="Q87" s="46">
        <f t="shared" ref="Q87" si="520">IFERROR(P87/$I87,"")</f>
        <v>5.2631578947368418E-2</v>
      </c>
      <c r="R87" s="5">
        <v>53</v>
      </c>
      <c r="S87" s="46">
        <f t="shared" ref="S87" si="521">IFERROR(R87/$I87,"")</f>
        <v>0.46491228070175439</v>
      </c>
      <c r="T87" s="5">
        <v>2</v>
      </c>
      <c r="U87" s="46">
        <f t="shared" ref="U87" si="522">IFERROR(T87/$I87,"")</f>
        <v>1.7543859649122806E-2</v>
      </c>
      <c r="V87" s="5">
        <v>29</v>
      </c>
      <c r="W87" s="46">
        <f t="shared" ref="W87" si="523">IFERROR(V87/$I87,"")</f>
        <v>0.25438596491228072</v>
      </c>
      <c r="X87" s="5">
        <v>25</v>
      </c>
      <c r="Y87" s="46">
        <f t="shared" ref="Y87" si="524">IFERROR(X87/$I87,"")</f>
        <v>0.21929824561403508</v>
      </c>
      <c r="Z87" s="5">
        <v>19</v>
      </c>
      <c r="AA87" s="46">
        <f t="shared" ref="AA87" si="525">IFERROR(Z87/$I87,"")</f>
        <v>0.16666666666666666</v>
      </c>
      <c r="AB87" s="5">
        <v>84</v>
      </c>
      <c r="AC87" s="46">
        <f t="shared" si="400"/>
        <v>0.53846153846153844</v>
      </c>
      <c r="AD87" s="5">
        <v>121</v>
      </c>
      <c r="AE87" s="5">
        <v>238395</v>
      </c>
      <c r="AF87" s="5">
        <f t="shared" si="401"/>
        <v>2838.0357142857142</v>
      </c>
      <c r="AG87" s="5">
        <v>0</v>
      </c>
      <c r="AH87" s="49">
        <f t="shared" si="402"/>
        <v>0</v>
      </c>
      <c r="AI87" s="5">
        <v>0</v>
      </c>
      <c r="AJ87" s="5">
        <v>20</v>
      </c>
      <c r="AK87" s="4">
        <v>28</v>
      </c>
      <c r="AL87" s="7">
        <v>26</v>
      </c>
      <c r="AM87" s="4">
        <v>1</v>
      </c>
      <c r="AN87" s="4">
        <v>1</v>
      </c>
      <c r="AO87" s="11">
        <f t="shared" si="403"/>
        <v>89.285714285714292</v>
      </c>
      <c r="AP87" s="50">
        <f t="shared" si="404"/>
        <v>0.17948717948717949</v>
      </c>
      <c r="AQ87" s="7">
        <v>156</v>
      </c>
      <c r="AR87" s="50">
        <f t="shared" si="405"/>
        <v>1</v>
      </c>
      <c r="AS87" s="4"/>
    </row>
    <row r="88" spans="1:45" ht="18" customHeight="1" x14ac:dyDescent="0.3">
      <c r="A88" s="4" t="s">
        <v>37</v>
      </c>
      <c r="B88" s="4" t="s">
        <v>4</v>
      </c>
      <c r="C88" s="4" t="s">
        <v>47</v>
      </c>
      <c r="D88" s="4" t="s">
        <v>52</v>
      </c>
      <c r="E88" s="4" t="s">
        <v>53</v>
      </c>
      <c r="F88" s="7" t="s">
        <v>48</v>
      </c>
      <c r="G88" s="4" t="s">
        <v>54</v>
      </c>
      <c r="H88" s="5">
        <v>160</v>
      </c>
      <c r="I88" s="5">
        <v>119</v>
      </c>
      <c r="J88" s="6">
        <f t="shared" si="392"/>
        <v>0.74375000000000002</v>
      </c>
      <c r="K88" s="5">
        <v>109</v>
      </c>
      <c r="L88" s="5">
        <v>45</v>
      </c>
      <c r="M88" s="5">
        <v>31</v>
      </c>
      <c r="N88" s="9">
        <v>25</v>
      </c>
      <c r="O88" s="46">
        <f t="shared" si="393"/>
        <v>0.21008403361344538</v>
      </c>
      <c r="P88" s="5">
        <v>8</v>
      </c>
      <c r="Q88" s="46">
        <f t="shared" ref="Q88" si="526">IFERROR(P88/$I88,"")</f>
        <v>6.7226890756302518E-2</v>
      </c>
      <c r="R88" s="5">
        <v>62</v>
      </c>
      <c r="S88" s="46">
        <f t="shared" ref="S88" si="527">IFERROR(R88/$I88,"")</f>
        <v>0.52100840336134457</v>
      </c>
      <c r="T88" s="5">
        <v>0</v>
      </c>
      <c r="U88" s="46">
        <f t="shared" ref="U88" si="528">IFERROR(T88/$I88,"")</f>
        <v>0</v>
      </c>
      <c r="V88" s="5">
        <v>25</v>
      </c>
      <c r="W88" s="46">
        <f t="shared" ref="W88" si="529">IFERROR(V88/$I88,"")</f>
        <v>0.21008403361344538</v>
      </c>
      <c r="X88" s="5">
        <v>29</v>
      </c>
      <c r="Y88" s="46">
        <f t="shared" ref="Y88" si="530">IFERROR(X88/$I88,"")</f>
        <v>0.24369747899159663</v>
      </c>
      <c r="Z88" s="5">
        <v>26</v>
      </c>
      <c r="AA88" s="46">
        <f t="shared" ref="AA88" si="531">IFERROR(Z88/$I88,"")</f>
        <v>0.21848739495798319</v>
      </c>
      <c r="AB88" s="5">
        <v>72</v>
      </c>
      <c r="AC88" s="46">
        <f t="shared" si="400"/>
        <v>0.45</v>
      </c>
      <c r="AD88" s="5">
        <v>95</v>
      </c>
      <c r="AE88" s="5">
        <v>174599</v>
      </c>
      <c r="AF88" s="5">
        <f t="shared" si="401"/>
        <v>2424.9861111111113</v>
      </c>
      <c r="AG88" s="5">
        <v>891</v>
      </c>
      <c r="AH88" s="49">
        <f t="shared" si="402"/>
        <v>7.4873949579831933</v>
      </c>
      <c r="AI88" s="5">
        <v>0</v>
      </c>
      <c r="AJ88" s="5">
        <v>19</v>
      </c>
      <c r="AK88" s="4">
        <v>59</v>
      </c>
      <c r="AL88" s="7">
        <v>57</v>
      </c>
      <c r="AM88" s="4">
        <v>1</v>
      </c>
      <c r="AN88" s="4">
        <v>1</v>
      </c>
      <c r="AO88" s="11">
        <f t="shared" si="403"/>
        <v>94.915254237288138</v>
      </c>
      <c r="AP88" s="50">
        <f t="shared" si="404"/>
        <v>0.36875000000000002</v>
      </c>
      <c r="AQ88" s="7">
        <v>160</v>
      </c>
      <c r="AR88" s="50">
        <f t="shared" si="405"/>
        <v>1</v>
      </c>
      <c r="AS88" s="4"/>
    </row>
    <row r="89" spans="1:45" ht="18" customHeight="1" x14ac:dyDescent="0.3">
      <c r="A89" s="4" t="s">
        <v>37</v>
      </c>
      <c r="B89" s="4" t="s">
        <v>4</v>
      </c>
      <c r="C89" s="4" t="s">
        <v>47</v>
      </c>
      <c r="D89" s="4" t="s">
        <v>55</v>
      </c>
      <c r="E89" s="4" t="s">
        <v>56</v>
      </c>
      <c r="F89" s="7" t="s">
        <v>48</v>
      </c>
      <c r="G89" s="4" t="s">
        <v>57</v>
      </c>
      <c r="H89" s="5">
        <v>168</v>
      </c>
      <c r="I89" s="5">
        <v>144</v>
      </c>
      <c r="J89" s="6">
        <f t="shared" si="392"/>
        <v>0.8571428571428571</v>
      </c>
      <c r="K89" s="5">
        <v>123</v>
      </c>
      <c r="L89" s="5">
        <v>43</v>
      </c>
      <c r="M89" s="5">
        <v>22</v>
      </c>
      <c r="N89" s="9">
        <v>16</v>
      </c>
      <c r="O89" s="46">
        <f t="shared" si="393"/>
        <v>0.1111111111111111</v>
      </c>
      <c r="P89" s="5">
        <v>7</v>
      </c>
      <c r="Q89" s="46">
        <f t="shared" ref="Q89" si="532">IFERROR(P89/$I89,"")</f>
        <v>4.8611111111111112E-2</v>
      </c>
      <c r="R89" s="5">
        <v>67</v>
      </c>
      <c r="S89" s="46">
        <f t="shared" ref="S89" si="533">IFERROR(R89/$I89,"")</f>
        <v>0.46527777777777779</v>
      </c>
      <c r="T89" s="5">
        <v>2</v>
      </c>
      <c r="U89" s="46">
        <f t="shared" ref="U89" si="534">IFERROR(T89/$I89,"")</f>
        <v>1.3888888888888888E-2</v>
      </c>
      <c r="V89" s="5">
        <v>25</v>
      </c>
      <c r="W89" s="46">
        <f t="shared" ref="W89" si="535">IFERROR(V89/$I89,"")</f>
        <v>0.1736111111111111</v>
      </c>
      <c r="X89" s="5">
        <v>29</v>
      </c>
      <c r="Y89" s="46">
        <f t="shared" ref="Y89" si="536">IFERROR(X89/$I89,"")</f>
        <v>0.2013888888888889</v>
      </c>
      <c r="Z89" s="5">
        <v>19</v>
      </c>
      <c r="AA89" s="46">
        <f t="shared" ref="AA89" si="537">IFERROR(Z89/$I89,"")</f>
        <v>0.13194444444444445</v>
      </c>
      <c r="AB89" s="5">
        <v>82</v>
      </c>
      <c r="AC89" s="46">
        <f t="shared" si="400"/>
        <v>0.48809523809523808</v>
      </c>
      <c r="AD89" s="5">
        <v>108</v>
      </c>
      <c r="AE89" s="5">
        <v>226807.95</v>
      </c>
      <c r="AF89" s="5">
        <f t="shared" si="401"/>
        <v>2765.9506097560975</v>
      </c>
      <c r="AG89" s="5">
        <v>1658.6100000000001</v>
      </c>
      <c r="AH89" s="49">
        <f t="shared" si="402"/>
        <v>11.518125000000001</v>
      </c>
      <c r="AI89" s="5">
        <v>2395</v>
      </c>
      <c r="AJ89" s="5">
        <v>19</v>
      </c>
      <c r="AK89" s="4">
        <v>25</v>
      </c>
      <c r="AL89" s="7">
        <v>24</v>
      </c>
      <c r="AM89" s="4">
        <v>1</v>
      </c>
      <c r="AN89" s="4">
        <v>0</v>
      </c>
      <c r="AO89" s="11">
        <f t="shared" si="403"/>
        <v>96</v>
      </c>
      <c r="AP89" s="50">
        <f t="shared" si="404"/>
        <v>0.14880952380952381</v>
      </c>
      <c r="AQ89" s="7">
        <v>168</v>
      </c>
      <c r="AR89" s="50">
        <f t="shared" si="405"/>
        <v>1</v>
      </c>
      <c r="AS89" s="4"/>
    </row>
    <row r="90" spans="1:45" ht="18" customHeight="1" x14ac:dyDescent="0.3">
      <c r="A90" s="4" t="s">
        <v>37</v>
      </c>
      <c r="B90" s="4" t="s">
        <v>4</v>
      </c>
      <c r="C90" s="4" t="s">
        <v>47</v>
      </c>
      <c r="D90" s="4"/>
      <c r="E90" s="4" t="s">
        <v>146</v>
      </c>
      <c r="F90" s="7" t="s">
        <v>48</v>
      </c>
      <c r="G90" s="4" t="s">
        <v>61</v>
      </c>
      <c r="H90" s="5">
        <v>33</v>
      </c>
      <c r="I90" s="5">
        <v>30</v>
      </c>
      <c r="J90" s="6">
        <f t="shared" si="392"/>
        <v>0.90909090909090906</v>
      </c>
      <c r="K90" s="5">
        <v>27</v>
      </c>
      <c r="L90" s="5">
        <v>11</v>
      </c>
      <c r="M90" s="5">
        <v>8</v>
      </c>
      <c r="N90" s="9">
        <v>0</v>
      </c>
      <c r="O90" s="46">
        <f t="shared" si="393"/>
        <v>0</v>
      </c>
      <c r="P90" s="5">
        <v>0</v>
      </c>
      <c r="Q90" s="46">
        <f t="shared" ref="Q90" si="538">IFERROR(P90/$I90,"")</f>
        <v>0</v>
      </c>
      <c r="R90" s="5">
        <v>14</v>
      </c>
      <c r="S90" s="46">
        <f t="shared" ref="S90" si="539">IFERROR(R90/$I90,"")</f>
        <v>0.46666666666666667</v>
      </c>
      <c r="T90" s="5">
        <v>0</v>
      </c>
      <c r="U90" s="46">
        <f t="shared" ref="U90" si="540">IFERROR(T90/$I90,"")</f>
        <v>0</v>
      </c>
      <c r="V90" s="5">
        <v>1</v>
      </c>
      <c r="W90" s="46">
        <f t="shared" ref="W90" si="541">IFERROR(V90/$I90,"")</f>
        <v>3.3333333333333333E-2</v>
      </c>
      <c r="X90" s="5">
        <v>0</v>
      </c>
      <c r="Y90" s="46">
        <f t="shared" ref="Y90" si="542">IFERROR(X90/$I90,"")</f>
        <v>0</v>
      </c>
      <c r="Z90" s="5">
        <v>1</v>
      </c>
      <c r="AA90" s="46">
        <f t="shared" ref="AA90" si="543">IFERROR(Z90/$I90,"")</f>
        <v>3.3333333333333333E-2</v>
      </c>
      <c r="AB90" s="5">
        <v>17</v>
      </c>
      <c r="AC90" s="46">
        <f t="shared" si="400"/>
        <v>0.51515151515151514</v>
      </c>
      <c r="AD90" s="5">
        <v>17</v>
      </c>
      <c r="AE90" s="5">
        <v>24921</v>
      </c>
      <c r="AF90" s="5">
        <f t="shared" si="401"/>
        <v>1465.9411764705883</v>
      </c>
      <c r="AG90" s="5">
        <v>0</v>
      </c>
      <c r="AH90" s="49">
        <f t="shared" si="402"/>
        <v>0</v>
      </c>
      <c r="AI90" s="5">
        <v>0</v>
      </c>
      <c r="AJ90" s="5">
        <v>4</v>
      </c>
      <c r="AK90" s="4">
        <v>10</v>
      </c>
      <c r="AL90" s="7">
        <v>10</v>
      </c>
      <c r="AM90" s="4">
        <v>0</v>
      </c>
      <c r="AN90" s="4">
        <v>0</v>
      </c>
      <c r="AO90" s="11">
        <f t="shared" si="403"/>
        <v>100</v>
      </c>
      <c r="AP90" s="50">
        <f t="shared" si="404"/>
        <v>0.30303030303030304</v>
      </c>
      <c r="AQ90" s="7">
        <v>33</v>
      </c>
      <c r="AR90" s="50">
        <f t="shared" si="405"/>
        <v>1</v>
      </c>
      <c r="AS90" s="4"/>
    </row>
    <row r="91" spans="1:45" ht="18" customHeight="1" x14ac:dyDescent="0.3">
      <c r="A91" s="4" t="s">
        <v>37</v>
      </c>
      <c r="B91" s="4" t="s">
        <v>4</v>
      </c>
      <c r="C91" s="4" t="s">
        <v>47</v>
      </c>
      <c r="D91" s="4"/>
      <c r="E91" s="4" t="s">
        <v>149</v>
      </c>
      <c r="F91" s="7" t="s">
        <v>48</v>
      </c>
      <c r="G91" s="4" t="s">
        <v>61</v>
      </c>
      <c r="H91" s="5">
        <v>11</v>
      </c>
      <c r="I91" s="5">
        <v>11</v>
      </c>
      <c r="J91" s="6">
        <f t="shared" si="392"/>
        <v>1</v>
      </c>
      <c r="K91" s="5">
        <v>10</v>
      </c>
      <c r="L91" s="5">
        <v>1</v>
      </c>
      <c r="M91" s="5">
        <v>0</v>
      </c>
      <c r="N91" s="9">
        <v>0</v>
      </c>
      <c r="O91" s="46">
        <f t="shared" si="393"/>
        <v>0</v>
      </c>
      <c r="P91" s="5">
        <v>0</v>
      </c>
      <c r="Q91" s="46">
        <f t="shared" ref="Q91" si="544">IFERROR(P91/$I91,"")</f>
        <v>0</v>
      </c>
      <c r="R91" s="5">
        <v>7</v>
      </c>
      <c r="S91" s="46">
        <f t="shared" ref="S91" si="545">IFERROR(R91/$I91,"")</f>
        <v>0.63636363636363635</v>
      </c>
      <c r="T91" s="5">
        <v>0</v>
      </c>
      <c r="U91" s="46">
        <f t="shared" ref="U91" si="546">IFERROR(T91/$I91,"")</f>
        <v>0</v>
      </c>
      <c r="V91" s="5">
        <v>0</v>
      </c>
      <c r="W91" s="46">
        <f t="shared" ref="W91" si="547">IFERROR(V91/$I91,"")</f>
        <v>0</v>
      </c>
      <c r="X91" s="5">
        <v>0</v>
      </c>
      <c r="Y91" s="46">
        <f t="shared" ref="Y91" si="548">IFERROR(X91/$I91,"")</f>
        <v>0</v>
      </c>
      <c r="Z91" s="5">
        <v>0</v>
      </c>
      <c r="AA91" s="46">
        <f t="shared" ref="AA91" si="549">IFERROR(Z91/$I91,"")</f>
        <v>0</v>
      </c>
      <c r="AB91" s="5">
        <v>6</v>
      </c>
      <c r="AC91" s="46">
        <f t="shared" si="400"/>
        <v>0.54545454545454541</v>
      </c>
      <c r="AD91" s="5">
        <v>6</v>
      </c>
      <c r="AE91" s="5">
        <v>7987</v>
      </c>
      <c r="AF91" s="5">
        <f t="shared" si="401"/>
        <v>1331.1666666666667</v>
      </c>
      <c r="AG91" s="5">
        <v>0</v>
      </c>
      <c r="AH91" s="49">
        <f t="shared" si="402"/>
        <v>0</v>
      </c>
      <c r="AI91" s="5">
        <v>0</v>
      </c>
      <c r="AJ91" s="5">
        <v>0</v>
      </c>
      <c r="AK91" s="4">
        <v>0</v>
      </c>
      <c r="AL91" s="7">
        <v>0</v>
      </c>
      <c r="AM91" s="4">
        <v>0</v>
      </c>
      <c r="AN91" s="4">
        <v>0</v>
      </c>
      <c r="AO91" s="11" t="e">
        <f t="shared" si="403"/>
        <v>#DIV/0!</v>
      </c>
      <c r="AP91" s="50">
        <f t="shared" si="404"/>
        <v>0</v>
      </c>
      <c r="AQ91" s="7">
        <v>11</v>
      </c>
      <c r="AR91" s="50">
        <f t="shared" si="405"/>
        <v>1</v>
      </c>
      <c r="AS91" s="4"/>
    </row>
    <row r="92" spans="1:45" ht="18" customHeight="1" x14ac:dyDescent="0.3">
      <c r="A92" s="4" t="s">
        <v>37</v>
      </c>
      <c r="B92" s="4" t="s">
        <v>4</v>
      </c>
      <c r="C92" s="4" t="s">
        <v>47</v>
      </c>
      <c r="D92" s="4" t="s">
        <v>63</v>
      </c>
      <c r="E92" s="4" t="s">
        <v>64</v>
      </c>
      <c r="F92" s="7" t="s">
        <v>48</v>
      </c>
      <c r="G92" s="4" t="s">
        <v>65</v>
      </c>
      <c r="H92" s="5">
        <v>209</v>
      </c>
      <c r="I92" s="5">
        <v>146</v>
      </c>
      <c r="J92" s="6">
        <f t="shared" si="392"/>
        <v>0.69856459330143539</v>
      </c>
      <c r="K92" s="5">
        <v>125</v>
      </c>
      <c r="L92" s="5">
        <v>45</v>
      </c>
      <c r="M92" s="5">
        <v>36</v>
      </c>
      <c r="N92" s="9">
        <v>20</v>
      </c>
      <c r="O92" s="46">
        <f t="shared" si="393"/>
        <v>0.13698630136986301</v>
      </c>
      <c r="P92" s="5">
        <v>7</v>
      </c>
      <c r="Q92" s="46">
        <f t="shared" ref="Q92" si="550">IFERROR(P92/$I92,"")</f>
        <v>4.7945205479452052E-2</v>
      </c>
      <c r="R92" s="5">
        <v>67</v>
      </c>
      <c r="S92" s="46">
        <f t="shared" ref="S92" si="551">IFERROR(R92/$I92,"")</f>
        <v>0.4589041095890411</v>
      </c>
      <c r="T92" s="5">
        <v>0</v>
      </c>
      <c r="U92" s="46">
        <f t="shared" ref="U92" si="552">IFERROR(T92/$I92,"")</f>
        <v>0</v>
      </c>
      <c r="V92" s="5">
        <v>27</v>
      </c>
      <c r="W92" s="46">
        <f t="shared" ref="W92" si="553">IFERROR(V92/$I92,"")</f>
        <v>0.18493150684931506</v>
      </c>
      <c r="X92" s="5">
        <v>26</v>
      </c>
      <c r="Y92" s="46">
        <f t="shared" ref="Y92" si="554">IFERROR(X92/$I92,"")</f>
        <v>0.17808219178082191</v>
      </c>
      <c r="Z92" s="5">
        <v>22</v>
      </c>
      <c r="AA92" s="46">
        <f t="shared" ref="AA92" si="555">IFERROR(Z92/$I92,"")</f>
        <v>0.15068493150684931</v>
      </c>
      <c r="AB92" s="5">
        <v>80</v>
      </c>
      <c r="AC92" s="46">
        <f t="shared" si="400"/>
        <v>0.38277511961722488</v>
      </c>
      <c r="AD92" s="5">
        <v>97</v>
      </c>
      <c r="AE92" s="5">
        <v>154041</v>
      </c>
      <c r="AF92" s="5">
        <f t="shared" si="401"/>
        <v>1925.5125</v>
      </c>
      <c r="AG92" s="5">
        <v>0</v>
      </c>
      <c r="AH92" s="49">
        <f t="shared" si="402"/>
        <v>0</v>
      </c>
      <c r="AI92" s="5">
        <v>2839</v>
      </c>
      <c r="AJ92" s="5">
        <v>12</v>
      </c>
      <c r="AK92" s="4">
        <v>47</v>
      </c>
      <c r="AL92" s="7">
        <v>39</v>
      </c>
      <c r="AM92" s="4">
        <v>6</v>
      </c>
      <c r="AN92" s="4">
        <v>2</v>
      </c>
      <c r="AO92" s="11">
        <f t="shared" si="403"/>
        <v>78.723404255319153</v>
      </c>
      <c r="AP92" s="50">
        <f t="shared" si="404"/>
        <v>0.22488038277511962</v>
      </c>
      <c r="AQ92" s="7">
        <v>209</v>
      </c>
      <c r="AR92" s="50">
        <f t="shared" si="405"/>
        <v>1</v>
      </c>
      <c r="AS92" s="4"/>
    </row>
    <row r="93" spans="1:45" ht="18" customHeight="1" x14ac:dyDescent="0.3">
      <c r="A93" s="4" t="s">
        <v>37</v>
      </c>
      <c r="B93" s="4" t="s">
        <v>4</v>
      </c>
      <c r="C93" s="4" t="s">
        <v>47</v>
      </c>
      <c r="D93" s="4" t="s">
        <v>66</v>
      </c>
      <c r="E93" s="4" t="s">
        <v>67</v>
      </c>
      <c r="F93" s="7" t="s">
        <v>48</v>
      </c>
      <c r="G93" s="4" t="s">
        <v>65</v>
      </c>
      <c r="H93" s="5">
        <v>238</v>
      </c>
      <c r="I93" s="5">
        <v>190</v>
      </c>
      <c r="J93" s="6">
        <f t="shared" si="392"/>
        <v>0.79831932773109249</v>
      </c>
      <c r="K93" s="5">
        <v>161</v>
      </c>
      <c r="L93" s="5">
        <v>75</v>
      </c>
      <c r="M93" s="5">
        <v>43</v>
      </c>
      <c r="N93" s="9">
        <v>32</v>
      </c>
      <c r="O93" s="46">
        <f t="shared" si="393"/>
        <v>0.16842105263157894</v>
      </c>
      <c r="P93" s="5">
        <v>4</v>
      </c>
      <c r="Q93" s="46">
        <f t="shared" ref="Q93" si="556">IFERROR(P93/$I93,"")</f>
        <v>2.1052631578947368E-2</v>
      </c>
      <c r="R93" s="5">
        <v>64</v>
      </c>
      <c r="S93" s="46">
        <f t="shared" ref="S93" si="557">IFERROR(R93/$I93,"")</f>
        <v>0.33684210526315789</v>
      </c>
      <c r="T93" s="5">
        <v>0</v>
      </c>
      <c r="U93" s="46">
        <f t="shared" ref="U93" si="558">IFERROR(T93/$I93,"")</f>
        <v>0</v>
      </c>
      <c r="V93" s="5">
        <v>7</v>
      </c>
      <c r="W93" s="46">
        <f t="shared" ref="W93" si="559">IFERROR(V93/$I93,"")</f>
        <v>3.6842105263157891E-2</v>
      </c>
      <c r="X93" s="5">
        <v>13</v>
      </c>
      <c r="Y93" s="46">
        <f t="shared" ref="Y93" si="560">IFERROR(X93/$I93,"")</f>
        <v>6.8421052631578952E-2</v>
      </c>
      <c r="Z93" s="5">
        <v>14</v>
      </c>
      <c r="AA93" s="46">
        <f t="shared" ref="AA93" si="561">IFERROR(Z93/$I93,"")</f>
        <v>7.3684210526315783E-2</v>
      </c>
      <c r="AB93" s="5">
        <v>59</v>
      </c>
      <c r="AC93" s="46">
        <f t="shared" si="400"/>
        <v>0.24789915966386555</v>
      </c>
      <c r="AD93" s="5">
        <v>76</v>
      </c>
      <c r="AE93" s="5">
        <v>204950</v>
      </c>
      <c r="AF93" s="5">
        <f t="shared" si="401"/>
        <v>3473.7288135593221</v>
      </c>
      <c r="AG93" s="5">
        <v>957.03</v>
      </c>
      <c r="AH93" s="49">
        <f t="shared" si="402"/>
        <v>5.0369999999999999</v>
      </c>
      <c r="AI93" s="5">
        <v>347</v>
      </c>
      <c r="AJ93" s="5">
        <v>37</v>
      </c>
      <c r="AK93" s="4">
        <v>28</v>
      </c>
      <c r="AL93" s="7">
        <v>28</v>
      </c>
      <c r="AM93" s="4">
        <v>0</v>
      </c>
      <c r="AN93" s="4">
        <v>0</v>
      </c>
      <c r="AO93" s="11">
        <f t="shared" si="403"/>
        <v>100</v>
      </c>
      <c r="AP93" s="50">
        <f t="shared" si="404"/>
        <v>0.11764705882352941</v>
      </c>
      <c r="AQ93" s="7">
        <v>238</v>
      </c>
      <c r="AR93" s="50">
        <f t="shared" si="405"/>
        <v>1</v>
      </c>
      <c r="AS93" s="4"/>
    </row>
    <row r="94" spans="1:45" ht="18" customHeight="1" x14ac:dyDescent="0.3">
      <c r="A94" s="4" t="s">
        <v>37</v>
      </c>
      <c r="B94" s="4" t="s">
        <v>4</v>
      </c>
      <c r="C94" s="4" t="s">
        <v>47</v>
      </c>
      <c r="D94" s="4" t="s">
        <v>68</v>
      </c>
      <c r="E94" s="4" t="s">
        <v>69</v>
      </c>
      <c r="F94" s="7" t="s">
        <v>48</v>
      </c>
      <c r="G94" s="4" t="s">
        <v>57</v>
      </c>
      <c r="H94" s="5">
        <v>172</v>
      </c>
      <c r="I94" s="5">
        <v>137</v>
      </c>
      <c r="J94" s="6">
        <f t="shared" si="392"/>
        <v>0.79651162790697672</v>
      </c>
      <c r="K94" s="5">
        <v>113</v>
      </c>
      <c r="L94" s="5">
        <v>45</v>
      </c>
      <c r="M94" s="5">
        <v>20</v>
      </c>
      <c r="N94" s="9">
        <v>20</v>
      </c>
      <c r="O94" s="46">
        <f t="shared" si="393"/>
        <v>0.145985401459854</v>
      </c>
      <c r="P94" s="5">
        <v>8</v>
      </c>
      <c r="Q94" s="46">
        <f t="shared" ref="Q94" si="562">IFERROR(P94/$I94,"")</f>
        <v>5.8394160583941604E-2</v>
      </c>
      <c r="R94" s="5">
        <v>54</v>
      </c>
      <c r="S94" s="46">
        <f t="shared" ref="S94" si="563">IFERROR(R94/$I94,"")</f>
        <v>0.39416058394160586</v>
      </c>
      <c r="T94" s="5">
        <v>1</v>
      </c>
      <c r="U94" s="46">
        <f t="shared" ref="U94" si="564">IFERROR(T94/$I94,"")</f>
        <v>7.2992700729927005E-3</v>
      </c>
      <c r="V94" s="5">
        <v>27</v>
      </c>
      <c r="W94" s="46">
        <f t="shared" ref="W94" si="565">IFERROR(V94/$I94,"")</f>
        <v>0.19708029197080293</v>
      </c>
      <c r="X94" s="5">
        <v>32</v>
      </c>
      <c r="Y94" s="46">
        <f t="shared" ref="Y94" si="566">IFERROR(X94/$I94,"")</f>
        <v>0.23357664233576642</v>
      </c>
      <c r="Z94" s="5">
        <v>16</v>
      </c>
      <c r="AA94" s="46">
        <f t="shared" ref="AA94" si="567">IFERROR(Z94/$I94,"")</f>
        <v>0.11678832116788321</v>
      </c>
      <c r="AB94" s="5">
        <v>88</v>
      </c>
      <c r="AC94" s="46">
        <f t="shared" si="400"/>
        <v>0.51162790697674421</v>
      </c>
      <c r="AD94" s="5">
        <v>101</v>
      </c>
      <c r="AE94" s="5">
        <v>183976</v>
      </c>
      <c r="AF94" s="5">
        <f t="shared" si="401"/>
        <v>2090.6363636363635</v>
      </c>
      <c r="AG94" s="5">
        <v>0</v>
      </c>
      <c r="AH94" s="49">
        <f t="shared" si="402"/>
        <v>0</v>
      </c>
      <c r="AI94" s="5">
        <v>347</v>
      </c>
      <c r="AJ94" s="5">
        <v>20</v>
      </c>
      <c r="AK94" s="4">
        <v>36</v>
      </c>
      <c r="AL94" s="7">
        <v>32</v>
      </c>
      <c r="AM94" s="4">
        <v>3</v>
      </c>
      <c r="AN94" s="4">
        <v>1</v>
      </c>
      <c r="AO94" s="11">
        <f t="shared" si="403"/>
        <v>86.111111111111114</v>
      </c>
      <c r="AP94" s="50">
        <f t="shared" si="404"/>
        <v>0.20930232558139536</v>
      </c>
      <c r="AQ94" s="7">
        <v>172</v>
      </c>
      <c r="AR94" s="50">
        <f t="shared" si="405"/>
        <v>1</v>
      </c>
      <c r="AS94" s="4"/>
    </row>
    <row r="95" spans="1:45" ht="18" customHeight="1" x14ac:dyDescent="0.3">
      <c r="A95" s="4" t="s">
        <v>37</v>
      </c>
      <c r="B95" s="4" t="s">
        <v>4</v>
      </c>
      <c r="C95" s="4" t="s">
        <v>47</v>
      </c>
      <c r="D95" s="4"/>
      <c r="E95" s="4" t="s">
        <v>75</v>
      </c>
      <c r="F95" s="7" t="s">
        <v>48</v>
      </c>
      <c r="G95" s="4" t="s">
        <v>61</v>
      </c>
      <c r="H95" s="5">
        <v>130</v>
      </c>
      <c r="I95" s="5">
        <v>120</v>
      </c>
      <c r="J95" s="6">
        <f t="shared" si="392"/>
        <v>0.92307692307692313</v>
      </c>
      <c r="K95" s="5">
        <v>117</v>
      </c>
      <c r="L95" s="5">
        <v>26</v>
      </c>
      <c r="M95" s="5">
        <v>15</v>
      </c>
      <c r="N95" s="9">
        <v>12</v>
      </c>
      <c r="O95" s="46">
        <f t="shared" si="393"/>
        <v>0.1</v>
      </c>
      <c r="P95" s="5">
        <v>14</v>
      </c>
      <c r="Q95" s="46">
        <f t="shared" ref="Q95" si="568">IFERROR(P95/$I95,"")</f>
        <v>0.11666666666666667</v>
      </c>
      <c r="R95" s="5">
        <v>71</v>
      </c>
      <c r="S95" s="46">
        <f t="shared" ref="S95" si="569">IFERROR(R95/$I95,"")</f>
        <v>0.59166666666666667</v>
      </c>
      <c r="T95" s="5">
        <v>0</v>
      </c>
      <c r="U95" s="46">
        <f t="shared" ref="U95" si="570">IFERROR(T95/$I95,"")</f>
        <v>0</v>
      </c>
      <c r="V95" s="5">
        <v>10</v>
      </c>
      <c r="W95" s="46">
        <f t="shared" ref="W95" si="571">IFERROR(V95/$I95,"")</f>
        <v>8.3333333333333329E-2</v>
      </c>
      <c r="X95" s="5">
        <v>12</v>
      </c>
      <c r="Y95" s="46">
        <f t="shared" ref="Y95" si="572">IFERROR(X95/$I95,"")</f>
        <v>0.1</v>
      </c>
      <c r="Z95" s="5">
        <v>1</v>
      </c>
      <c r="AA95" s="46">
        <f t="shared" ref="AA95" si="573">IFERROR(Z95/$I95,"")</f>
        <v>8.3333333333333332E-3</v>
      </c>
      <c r="AB95" s="5">
        <v>55</v>
      </c>
      <c r="AC95" s="46">
        <f t="shared" si="400"/>
        <v>0.42307692307692307</v>
      </c>
      <c r="AD95" s="5">
        <v>62</v>
      </c>
      <c r="AE95" s="5">
        <v>94134</v>
      </c>
      <c r="AF95" s="5">
        <f t="shared" si="401"/>
        <v>1711.5272727272727</v>
      </c>
      <c r="AG95" s="5">
        <v>0</v>
      </c>
      <c r="AH95" s="49">
        <f t="shared" si="402"/>
        <v>0</v>
      </c>
      <c r="AI95" s="5">
        <v>0</v>
      </c>
      <c r="AJ95" s="5">
        <v>17</v>
      </c>
      <c r="AK95" s="4">
        <v>32</v>
      </c>
      <c r="AL95" s="7">
        <v>30</v>
      </c>
      <c r="AM95" s="4">
        <v>0</v>
      </c>
      <c r="AN95" s="4">
        <v>2</v>
      </c>
      <c r="AO95" s="11">
        <f t="shared" si="403"/>
        <v>87.5</v>
      </c>
      <c r="AP95" s="50">
        <f t="shared" si="404"/>
        <v>0.24615384615384617</v>
      </c>
      <c r="AQ95" s="7">
        <v>130</v>
      </c>
      <c r="AR95" s="50">
        <f t="shared" si="405"/>
        <v>1</v>
      </c>
      <c r="AS95" s="4"/>
    </row>
    <row r="96" spans="1:45" ht="18" customHeight="1" x14ac:dyDescent="0.3">
      <c r="A96" s="4" t="s">
        <v>37</v>
      </c>
      <c r="B96" s="4" t="s">
        <v>4</v>
      </c>
      <c r="C96" s="4" t="s">
        <v>47</v>
      </c>
      <c r="D96" s="4"/>
      <c r="E96" s="4" t="s">
        <v>150</v>
      </c>
      <c r="F96" s="7" t="s">
        <v>48</v>
      </c>
      <c r="G96" s="4" t="s">
        <v>61</v>
      </c>
      <c r="H96" s="5">
        <v>38</v>
      </c>
      <c r="I96" s="5">
        <v>38</v>
      </c>
      <c r="J96" s="6">
        <f t="shared" si="392"/>
        <v>1</v>
      </c>
      <c r="K96" s="5">
        <v>39</v>
      </c>
      <c r="L96" s="5">
        <v>1</v>
      </c>
      <c r="M96" s="5">
        <v>0</v>
      </c>
      <c r="N96" s="9">
        <v>0</v>
      </c>
      <c r="O96" s="46">
        <f t="shared" si="393"/>
        <v>0</v>
      </c>
      <c r="P96" s="5">
        <v>0</v>
      </c>
      <c r="Q96" s="46">
        <f t="shared" ref="Q96" si="574">IFERROR(P96/$I96,"")</f>
        <v>0</v>
      </c>
      <c r="R96" s="5">
        <v>23</v>
      </c>
      <c r="S96" s="46">
        <f t="shared" ref="S96" si="575">IFERROR(R96/$I96,"")</f>
        <v>0.60526315789473684</v>
      </c>
      <c r="T96" s="5">
        <v>0</v>
      </c>
      <c r="U96" s="46">
        <f t="shared" ref="U96" si="576">IFERROR(T96/$I96,"")</f>
        <v>0</v>
      </c>
      <c r="V96" s="5">
        <v>0</v>
      </c>
      <c r="W96" s="46">
        <f t="shared" ref="W96" si="577">IFERROR(V96/$I96,"")</f>
        <v>0</v>
      </c>
      <c r="X96" s="5">
        <v>0</v>
      </c>
      <c r="Y96" s="46">
        <f t="shared" ref="Y96" si="578">IFERROR(X96/$I96,"")</f>
        <v>0</v>
      </c>
      <c r="Z96" s="5">
        <v>0</v>
      </c>
      <c r="AA96" s="46">
        <f t="shared" ref="AA96" si="579">IFERROR(Z96/$I96,"")</f>
        <v>0</v>
      </c>
      <c r="AB96" s="5">
        <v>27</v>
      </c>
      <c r="AC96" s="46">
        <f t="shared" si="400"/>
        <v>0.71052631578947367</v>
      </c>
      <c r="AD96" s="5">
        <v>27</v>
      </c>
      <c r="AE96" s="5">
        <v>35619</v>
      </c>
      <c r="AF96" s="5">
        <f t="shared" si="401"/>
        <v>1319.2222222222222</v>
      </c>
      <c r="AG96" s="5">
        <v>0</v>
      </c>
      <c r="AH96" s="49">
        <f t="shared" si="402"/>
        <v>0</v>
      </c>
      <c r="AI96" s="5">
        <v>0</v>
      </c>
      <c r="AJ96" s="5">
        <v>1</v>
      </c>
      <c r="AK96" s="4">
        <v>8</v>
      </c>
      <c r="AL96" s="7">
        <v>8</v>
      </c>
      <c r="AM96" s="4">
        <v>0</v>
      </c>
      <c r="AN96" s="4">
        <v>0</v>
      </c>
      <c r="AO96" s="11">
        <f t="shared" si="403"/>
        <v>100</v>
      </c>
      <c r="AP96" s="50">
        <f t="shared" si="404"/>
        <v>0.21052631578947367</v>
      </c>
      <c r="AQ96" s="7">
        <v>38</v>
      </c>
      <c r="AR96" s="50">
        <f t="shared" si="405"/>
        <v>1</v>
      </c>
      <c r="AS96" s="4"/>
    </row>
    <row r="97" spans="1:45" ht="18" customHeight="1" x14ac:dyDescent="0.3">
      <c r="A97" s="4" t="s">
        <v>37</v>
      </c>
      <c r="B97" s="4" t="s">
        <v>4</v>
      </c>
      <c r="C97" s="4" t="s">
        <v>47</v>
      </c>
      <c r="D97" s="4"/>
      <c r="E97" s="4" t="s">
        <v>60</v>
      </c>
      <c r="F97" s="7" t="s">
        <v>48</v>
      </c>
      <c r="G97" s="4" t="s">
        <v>61</v>
      </c>
      <c r="H97" s="5">
        <v>120</v>
      </c>
      <c r="I97" s="5">
        <v>109</v>
      </c>
      <c r="J97" s="6">
        <f t="shared" si="392"/>
        <v>0.90833333333333333</v>
      </c>
      <c r="K97" s="5">
        <v>102</v>
      </c>
      <c r="L97" s="5">
        <v>26</v>
      </c>
      <c r="M97" s="5">
        <v>10</v>
      </c>
      <c r="N97" s="9">
        <v>16</v>
      </c>
      <c r="O97" s="46">
        <f t="shared" si="393"/>
        <v>0.14678899082568808</v>
      </c>
      <c r="P97" s="5">
        <v>9</v>
      </c>
      <c r="Q97" s="46">
        <f t="shared" ref="Q97" si="580">IFERROR(P97/$I97,"")</f>
        <v>8.2568807339449546E-2</v>
      </c>
      <c r="R97" s="5">
        <v>61</v>
      </c>
      <c r="S97" s="46">
        <f t="shared" ref="S97" si="581">IFERROR(R97/$I97,"")</f>
        <v>0.55963302752293576</v>
      </c>
      <c r="T97" s="5">
        <v>2</v>
      </c>
      <c r="U97" s="46">
        <f t="shared" ref="U97" si="582">IFERROR(T97/$I97,"")</f>
        <v>1.834862385321101E-2</v>
      </c>
      <c r="V97" s="5">
        <v>19</v>
      </c>
      <c r="W97" s="46">
        <f t="shared" ref="W97" si="583">IFERROR(V97/$I97,"")</f>
        <v>0.1743119266055046</v>
      </c>
      <c r="X97" s="5">
        <v>17</v>
      </c>
      <c r="Y97" s="46">
        <f t="shared" ref="Y97" si="584">IFERROR(X97/$I97,"")</f>
        <v>0.15596330275229359</v>
      </c>
      <c r="Z97" s="5">
        <v>20</v>
      </c>
      <c r="AA97" s="46">
        <f t="shared" ref="AA97" si="585">IFERROR(Z97/$I97,"")</f>
        <v>0.1834862385321101</v>
      </c>
      <c r="AB97" s="5">
        <v>76</v>
      </c>
      <c r="AC97" s="46">
        <f t="shared" si="400"/>
        <v>0.6333333333333333</v>
      </c>
      <c r="AD97" s="5">
        <v>83</v>
      </c>
      <c r="AE97" s="5">
        <v>140043</v>
      </c>
      <c r="AF97" s="5">
        <f t="shared" si="401"/>
        <v>1842.671052631579</v>
      </c>
      <c r="AG97" s="5">
        <v>178.57</v>
      </c>
      <c r="AH97" s="49">
        <f t="shared" si="402"/>
        <v>1.6382568807339448</v>
      </c>
      <c r="AI97" s="5">
        <v>0</v>
      </c>
      <c r="AJ97" s="5">
        <v>18</v>
      </c>
      <c r="AK97" s="4">
        <v>24</v>
      </c>
      <c r="AL97" s="7">
        <v>21</v>
      </c>
      <c r="AM97" s="4">
        <v>2</v>
      </c>
      <c r="AN97" s="4">
        <v>1</v>
      </c>
      <c r="AO97" s="11">
        <f t="shared" si="403"/>
        <v>83.333333333333343</v>
      </c>
      <c r="AP97" s="50">
        <f t="shared" si="404"/>
        <v>0.2</v>
      </c>
      <c r="AQ97" s="7">
        <v>120</v>
      </c>
      <c r="AR97" s="50">
        <f t="shared" si="405"/>
        <v>1</v>
      </c>
      <c r="AS97" s="4"/>
    </row>
    <row r="98" spans="1:45" ht="18" customHeight="1" x14ac:dyDescent="0.3">
      <c r="A98" s="4" t="s">
        <v>37</v>
      </c>
      <c r="B98" s="4" t="s">
        <v>4</v>
      </c>
      <c r="C98" s="4" t="s">
        <v>47</v>
      </c>
      <c r="D98" s="4" t="s">
        <v>70</v>
      </c>
      <c r="E98" s="4" t="s">
        <v>71</v>
      </c>
      <c r="F98" s="7" t="s">
        <v>48</v>
      </c>
      <c r="G98" s="4" t="s">
        <v>72</v>
      </c>
      <c r="H98" s="5">
        <v>127</v>
      </c>
      <c r="I98" s="5">
        <v>109</v>
      </c>
      <c r="J98" s="6">
        <f t="shared" si="392"/>
        <v>0.8582677165354331</v>
      </c>
      <c r="K98" s="5">
        <v>102</v>
      </c>
      <c r="L98" s="5">
        <v>35</v>
      </c>
      <c r="M98" s="5">
        <v>19</v>
      </c>
      <c r="N98" s="9">
        <v>16</v>
      </c>
      <c r="O98" s="46">
        <f t="shared" si="393"/>
        <v>0.14678899082568808</v>
      </c>
      <c r="P98" s="5">
        <v>6</v>
      </c>
      <c r="Q98" s="46">
        <f t="shared" ref="Q98" si="586">IFERROR(P98/$I98,"")</f>
        <v>5.5045871559633031E-2</v>
      </c>
      <c r="R98" s="5">
        <v>59</v>
      </c>
      <c r="S98" s="46">
        <f t="shared" ref="S98" si="587">IFERROR(R98/$I98,"")</f>
        <v>0.54128440366972475</v>
      </c>
      <c r="T98" s="5">
        <v>0</v>
      </c>
      <c r="U98" s="46">
        <f t="shared" ref="U98" si="588">IFERROR(T98/$I98,"")</f>
        <v>0</v>
      </c>
      <c r="V98" s="5">
        <v>29</v>
      </c>
      <c r="W98" s="46">
        <f t="shared" ref="W98" si="589">IFERROR(V98/$I98,"")</f>
        <v>0.26605504587155965</v>
      </c>
      <c r="X98" s="5">
        <v>31</v>
      </c>
      <c r="Y98" s="46">
        <f t="shared" ref="Y98" si="590">IFERROR(X98/$I98,"")</f>
        <v>0.28440366972477066</v>
      </c>
      <c r="Z98" s="5">
        <v>20</v>
      </c>
      <c r="AA98" s="46">
        <f t="shared" ref="AA98" si="591">IFERROR(Z98/$I98,"")</f>
        <v>0.1834862385321101</v>
      </c>
      <c r="AB98" s="5">
        <v>85</v>
      </c>
      <c r="AC98" s="46">
        <f t="shared" si="400"/>
        <v>0.6692913385826772</v>
      </c>
      <c r="AD98" s="5">
        <v>101</v>
      </c>
      <c r="AE98" s="5">
        <v>174070</v>
      </c>
      <c r="AF98" s="5">
        <f t="shared" si="401"/>
        <v>2047.8823529411766</v>
      </c>
      <c r="AG98" s="5">
        <v>900</v>
      </c>
      <c r="AH98" s="49">
        <f t="shared" si="402"/>
        <v>8.2568807339449535</v>
      </c>
      <c r="AI98" s="5">
        <v>0</v>
      </c>
      <c r="AJ98" s="5">
        <v>16</v>
      </c>
      <c r="AK98" s="4">
        <v>21</v>
      </c>
      <c r="AL98" s="7">
        <v>17</v>
      </c>
      <c r="AM98" s="4">
        <v>2</v>
      </c>
      <c r="AN98" s="4">
        <v>2</v>
      </c>
      <c r="AO98" s="11">
        <f t="shared" si="403"/>
        <v>71.428571428571431</v>
      </c>
      <c r="AP98" s="50">
        <f t="shared" si="404"/>
        <v>0.16535433070866143</v>
      </c>
      <c r="AQ98" s="7">
        <v>127</v>
      </c>
      <c r="AR98" s="50">
        <f t="shared" si="405"/>
        <v>1</v>
      </c>
      <c r="AS98" s="4"/>
    </row>
    <row r="99" spans="1:45" ht="18" customHeight="1" x14ac:dyDescent="0.3">
      <c r="A99" s="4" t="s">
        <v>37</v>
      </c>
      <c r="B99" s="4" t="s">
        <v>4</v>
      </c>
      <c r="C99" s="4" t="s">
        <v>47</v>
      </c>
      <c r="D99" s="4"/>
      <c r="E99" s="4" t="s">
        <v>62</v>
      </c>
      <c r="F99" s="7" t="s">
        <v>48</v>
      </c>
      <c r="G99" s="4" t="s">
        <v>61</v>
      </c>
      <c r="H99" s="5">
        <v>157</v>
      </c>
      <c r="I99" s="5">
        <v>134</v>
      </c>
      <c r="J99" s="6">
        <f t="shared" si="392"/>
        <v>0.85350318471337583</v>
      </c>
      <c r="K99" s="5">
        <v>113</v>
      </c>
      <c r="L99" s="5">
        <v>37</v>
      </c>
      <c r="M99" s="5">
        <v>17</v>
      </c>
      <c r="N99" s="9">
        <v>41</v>
      </c>
      <c r="O99" s="46">
        <f t="shared" si="393"/>
        <v>0.30597014925373134</v>
      </c>
      <c r="P99" s="5">
        <v>3</v>
      </c>
      <c r="Q99" s="46">
        <f t="shared" ref="Q99" si="592">IFERROR(P99/$I99,"")</f>
        <v>2.2388059701492536E-2</v>
      </c>
      <c r="R99" s="5">
        <v>50</v>
      </c>
      <c r="S99" s="46">
        <f t="shared" ref="S99" si="593">IFERROR(R99/$I99,"")</f>
        <v>0.37313432835820898</v>
      </c>
      <c r="T99" s="5">
        <v>1</v>
      </c>
      <c r="U99" s="46">
        <f t="shared" ref="U99" si="594">IFERROR(T99/$I99,"")</f>
        <v>7.462686567164179E-3</v>
      </c>
      <c r="V99" s="5">
        <v>34</v>
      </c>
      <c r="W99" s="46">
        <f t="shared" ref="W99" si="595">IFERROR(V99/$I99,"")</f>
        <v>0.2537313432835821</v>
      </c>
      <c r="X99" s="5">
        <v>35</v>
      </c>
      <c r="Y99" s="46">
        <f t="shared" ref="Y99" si="596">IFERROR(X99/$I99,"")</f>
        <v>0.26119402985074625</v>
      </c>
      <c r="Z99" s="5">
        <v>17</v>
      </c>
      <c r="AA99" s="46">
        <f t="shared" ref="AA99" si="597">IFERROR(Z99/$I99,"")</f>
        <v>0.12686567164179105</v>
      </c>
      <c r="AB99" s="5">
        <v>91</v>
      </c>
      <c r="AC99" s="46">
        <f t="shared" si="400"/>
        <v>0.57961783439490444</v>
      </c>
      <c r="AD99" s="5">
        <v>102</v>
      </c>
      <c r="AE99" s="5">
        <v>207440</v>
      </c>
      <c r="AF99" s="5">
        <f t="shared" si="401"/>
        <v>2279.5604395604396</v>
      </c>
      <c r="AG99" s="5">
        <v>0</v>
      </c>
      <c r="AH99" s="49">
        <f t="shared" si="402"/>
        <v>0</v>
      </c>
      <c r="AI99" s="5">
        <v>0</v>
      </c>
      <c r="AJ99" s="5">
        <v>11</v>
      </c>
      <c r="AK99" s="4">
        <v>36</v>
      </c>
      <c r="AL99" s="7">
        <v>28</v>
      </c>
      <c r="AM99" s="4">
        <v>7</v>
      </c>
      <c r="AN99" s="4">
        <v>1</v>
      </c>
      <c r="AO99" s="11">
        <f t="shared" si="403"/>
        <v>75</v>
      </c>
      <c r="AP99" s="50">
        <f t="shared" si="404"/>
        <v>0.22929936305732485</v>
      </c>
      <c r="AQ99" s="7">
        <v>157</v>
      </c>
      <c r="AR99" s="50">
        <f t="shared" si="405"/>
        <v>1</v>
      </c>
      <c r="AS99" s="4"/>
    </row>
    <row r="100" spans="1:45" ht="18" customHeight="1" x14ac:dyDescent="0.3">
      <c r="A100" s="4" t="s">
        <v>37</v>
      </c>
      <c r="B100" s="4" t="s">
        <v>4</v>
      </c>
      <c r="C100" s="4" t="s">
        <v>47</v>
      </c>
      <c r="D100" s="4" t="s">
        <v>58</v>
      </c>
      <c r="E100" s="4" t="s">
        <v>59</v>
      </c>
      <c r="F100" s="7" t="s">
        <v>48</v>
      </c>
      <c r="G100" s="4" t="s">
        <v>57</v>
      </c>
      <c r="H100" s="5">
        <v>169</v>
      </c>
      <c r="I100" s="5">
        <v>135</v>
      </c>
      <c r="J100" s="6">
        <f t="shared" si="392"/>
        <v>0.79881656804733725</v>
      </c>
      <c r="K100" s="5">
        <v>121</v>
      </c>
      <c r="L100" s="5">
        <v>47</v>
      </c>
      <c r="M100" s="5">
        <v>32</v>
      </c>
      <c r="N100" s="9">
        <v>16</v>
      </c>
      <c r="O100" s="46">
        <f t="shared" si="393"/>
        <v>0.11851851851851852</v>
      </c>
      <c r="P100" s="5">
        <v>4</v>
      </c>
      <c r="Q100" s="46">
        <f t="shared" ref="Q100" si="598">IFERROR(P100/$I100,"")</f>
        <v>2.9629629629629631E-2</v>
      </c>
      <c r="R100" s="5">
        <v>51</v>
      </c>
      <c r="S100" s="46">
        <f t="shared" ref="S100" si="599">IFERROR(R100/$I100,"")</f>
        <v>0.37777777777777777</v>
      </c>
      <c r="T100" s="5">
        <v>0</v>
      </c>
      <c r="U100" s="46">
        <f t="shared" ref="U100" si="600">IFERROR(T100/$I100,"")</f>
        <v>0</v>
      </c>
      <c r="V100" s="5">
        <v>31</v>
      </c>
      <c r="W100" s="46">
        <f t="shared" ref="W100" si="601">IFERROR(V100/$I100,"")</f>
        <v>0.22962962962962963</v>
      </c>
      <c r="X100" s="5">
        <v>24</v>
      </c>
      <c r="Y100" s="46">
        <f t="shared" ref="Y100" si="602">IFERROR(X100/$I100,"")</f>
        <v>0.17777777777777778</v>
      </c>
      <c r="Z100" s="5">
        <v>14</v>
      </c>
      <c r="AA100" s="46">
        <f t="shared" ref="AA100" si="603">IFERROR(Z100/$I100,"")</f>
        <v>0.1037037037037037</v>
      </c>
      <c r="AB100" s="5">
        <v>94</v>
      </c>
      <c r="AC100" s="46">
        <f t="shared" si="400"/>
        <v>0.55621301775147924</v>
      </c>
      <c r="AD100" s="5">
        <v>108</v>
      </c>
      <c r="AE100" s="5">
        <v>192761</v>
      </c>
      <c r="AF100" s="5">
        <f t="shared" si="401"/>
        <v>2050.6489361702129</v>
      </c>
      <c r="AG100" s="5">
        <v>0</v>
      </c>
      <c r="AH100" s="49">
        <f t="shared" si="402"/>
        <v>0</v>
      </c>
      <c r="AI100" s="5">
        <v>0</v>
      </c>
      <c r="AJ100" s="5">
        <v>24</v>
      </c>
      <c r="AK100" s="4">
        <v>44</v>
      </c>
      <c r="AL100" s="7">
        <v>42</v>
      </c>
      <c r="AM100" s="4">
        <v>0</v>
      </c>
      <c r="AN100" s="4">
        <v>2</v>
      </c>
      <c r="AO100" s="11">
        <f t="shared" si="403"/>
        <v>90.909090909090907</v>
      </c>
      <c r="AP100" s="50">
        <f t="shared" si="404"/>
        <v>0.26035502958579881</v>
      </c>
      <c r="AQ100" s="7">
        <v>169</v>
      </c>
      <c r="AR100" s="50">
        <f t="shared" si="405"/>
        <v>1</v>
      </c>
      <c r="AS100" s="4"/>
    </row>
    <row r="101" spans="1:45" ht="18" customHeight="1" x14ac:dyDescent="0.3">
      <c r="A101" s="4" t="s">
        <v>37</v>
      </c>
      <c r="B101" s="4" t="s">
        <v>4</v>
      </c>
      <c r="C101" s="4" t="s">
        <v>47</v>
      </c>
      <c r="D101" s="4"/>
      <c r="E101" s="4" t="s">
        <v>151</v>
      </c>
      <c r="F101" s="7" t="s">
        <v>48</v>
      </c>
      <c r="G101" s="4" t="s">
        <v>57</v>
      </c>
      <c r="H101" s="5">
        <v>37</v>
      </c>
      <c r="I101" s="5">
        <v>34</v>
      </c>
      <c r="J101" s="6">
        <f t="shared" si="392"/>
        <v>0.91891891891891897</v>
      </c>
      <c r="K101" s="5">
        <v>43</v>
      </c>
      <c r="L101" s="5">
        <v>0</v>
      </c>
      <c r="M101" s="5">
        <v>0</v>
      </c>
      <c r="N101" s="9">
        <v>0</v>
      </c>
      <c r="O101" s="46">
        <f t="shared" si="393"/>
        <v>0</v>
      </c>
      <c r="P101" s="5">
        <v>0</v>
      </c>
      <c r="Q101" s="46">
        <f t="shared" ref="Q101" si="604">IFERROR(P101/$I101,"")</f>
        <v>0</v>
      </c>
      <c r="R101" s="5">
        <v>24</v>
      </c>
      <c r="S101" s="46">
        <f t="shared" ref="S101" si="605">IFERROR(R101/$I101,"")</f>
        <v>0.70588235294117652</v>
      </c>
      <c r="T101" s="5">
        <v>1</v>
      </c>
      <c r="U101" s="46">
        <f t="shared" ref="U101" si="606">IFERROR(T101/$I101,"")</f>
        <v>2.9411764705882353E-2</v>
      </c>
      <c r="V101" s="5">
        <v>0</v>
      </c>
      <c r="W101" s="46">
        <f t="shared" ref="W101" si="607">IFERROR(V101/$I101,"")</f>
        <v>0</v>
      </c>
      <c r="X101" s="5">
        <v>0</v>
      </c>
      <c r="Y101" s="46">
        <f t="shared" ref="Y101" si="608">IFERROR(X101/$I101,"")</f>
        <v>0</v>
      </c>
      <c r="Z101" s="5">
        <v>0</v>
      </c>
      <c r="AA101" s="46">
        <f t="shared" ref="AA101" si="609">IFERROR(Z101/$I101,"")</f>
        <v>0</v>
      </c>
      <c r="AB101" s="5">
        <v>26</v>
      </c>
      <c r="AC101" s="46">
        <f t="shared" si="400"/>
        <v>0.70270270270270274</v>
      </c>
      <c r="AD101" s="5">
        <v>28</v>
      </c>
      <c r="AE101" s="5">
        <v>38504</v>
      </c>
      <c r="AF101" s="5">
        <f t="shared" si="401"/>
        <v>1480.9230769230769</v>
      </c>
      <c r="AG101" s="5">
        <v>0</v>
      </c>
      <c r="AH101" s="49">
        <f t="shared" si="402"/>
        <v>0</v>
      </c>
      <c r="AI101" s="5">
        <v>0</v>
      </c>
      <c r="AJ101" s="5">
        <v>3</v>
      </c>
      <c r="AK101" s="4">
        <v>13</v>
      </c>
      <c r="AL101" s="7">
        <v>11</v>
      </c>
      <c r="AM101" s="4">
        <v>2</v>
      </c>
      <c r="AN101" s="4">
        <v>0</v>
      </c>
      <c r="AO101" s="11">
        <f t="shared" si="403"/>
        <v>84.615384615384613</v>
      </c>
      <c r="AP101" s="50">
        <f t="shared" si="404"/>
        <v>0.35135135135135137</v>
      </c>
      <c r="AQ101" s="7">
        <v>37</v>
      </c>
      <c r="AR101" s="50">
        <f t="shared" si="405"/>
        <v>1</v>
      </c>
      <c r="AS101" s="4"/>
    </row>
    <row r="102" spans="1:45" ht="18" customHeight="1" x14ac:dyDescent="0.3">
      <c r="A102" s="4" t="s">
        <v>37</v>
      </c>
      <c r="B102" s="4" t="s">
        <v>76</v>
      </c>
      <c r="C102" s="4" t="s">
        <v>47</v>
      </c>
      <c r="D102" s="4"/>
      <c r="E102" s="4" t="s">
        <v>77</v>
      </c>
      <c r="F102" s="7" t="s">
        <v>48</v>
      </c>
      <c r="G102" s="4"/>
      <c r="H102" s="5">
        <v>84</v>
      </c>
      <c r="I102" s="5">
        <v>67</v>
      </c>
      <c r="J102" s="6">
        <f t="shared" si="392"/>
        <v>0.79761904761904767</v>
      </c>
      <c r="K102" s="5">
        <v>43</v>
      </c>
      <c r="L102" s="5">
        <v>14</v>
      </c>
      <c r="M102" s="5">
        <v>5</v>
      </c>
      <c r="N102" s="9">
        <v>6</v>
      </c>
      <c r="O102" s="46">
        <f t="shared" si="393"/>
        <v>8.9552238805970144E-2</v>
      </c>
      <c r="P102" s="5">
        <v>1</v>
      </c>
      <c r="Q102" s="46">
        <f t="shared" ref="Q102" si="610">IFERROR(P102/$I102,"")</f>
        <v>1.4925373134328358E-2</v>
      </c>
      <c r="R102" s="5">
        <v>29</v>
      </c>
      <c r="S102" s="46">
        <f t="shared" ref="S102" si="611">IFERROR(R102/$I102,"")</f>
        <v>0.43283582089552236</v>
      </c>
      <c r="T102" s="5">
        <v>0</v>
      </c>
      <c r="U102" s="46">
        <f t="shared" ref="U102" si="612">IFERROR(T102/$I102,"")</f>
        <v>0</v>
      </c>
      <c r="V102" s="5">
        <v>8</v>
      </c>
      <c r="W102" s="46">
        <f t="shared" ref="W102" si="613">IFERROR(V102/$I102,"")</f>
        <v>0.11940298507462686</v>
      </c>
      <c r="X102" s="5">
        <v>7</v>
      </c>
      <c r="Y102" s="46">
        <f t="shared" ref="Y102" si="614">IFERROR(X102/$I102,"")</f>
        <v>0.1044776119402985</v>
      </c>
      <c r="Z102" s="5">
        <v>0</v>
      </c>
      <c r="AA102" s="46">
        <f t="shared" ref="AA102" si="615">IFERROR(Z102/$I102,"")</f>
        <v>0</v>
      </c>
      <c r="AB102" s="5">
        <v>29</v>
      </c>
      <c r="AC102" s="46">
        <f t="shared" si="400"/>
        <v>0.34523809523809523</v>
      </c>
      <c r="AD102" s="5">
        <v>31</v>
      </c>
      <c r="AE102" s="5">
        <v>38401</v>
      </c>
      <c r="AF102" s="5">
        <f t="shared" si="401"/>
        <v>1324.1724137931035</v>
      </c>
      <c r="AG102" s="5">
        <v>1360.38</v>
      </c>
      <c r="AH102" s="49">
        <f t="shared" si="402"/>
        <v>20.304179104477612</v>
      </c>
      <c r="AI102" s="5">
        <v>0</v>
      </c>
      <c r="AJ102" s="5">
        <v>0</v>
      </c>
      <c r="AK102" s="4">
        <v>18</v>
      </c>
      <c r="AL102" s="7">
        <v>17</v>
      </c>
      <c r="AM102" s="4">
        <v>1</v>
      </c>
      <c r="AN102" s="4">
        <v>0</v>
      </c>
      <c r="AO102" s="11">
        <f t="shared" si="403"/>
        <v>94.444444444444443</v>
      </c>
      <c r="AP102" s="50">
        <f t="shared" si="404"/>
        <v>0.21428571428571427</v>
      </c>
      <c r="AQ102" s="7">
        <v>84</v>
      </c>
      <c r="AR102" s="50">
        <f t="shared" si="405"/>
        <v>1</v>
      </c>
      <c r="AS102" s="4"/>
    </row>
    <row r="103" spans="1:45" ht="18" customHeight="1" x14ac:dyDescent="0.3">
      <c r="A103" s="4" t="s">
        <v>37</v>
      </c>
      <c r="B103" s="4" t="s">
        <v>78</v>
      </c>
      <c r="C103" s="4" t="s">
        <v>47</v>
      </c>
      <c r="D103" s="4" t="s">
        <v>79</v>
      </c>
      <c r="E103" s="4" t="s">
        <v>80</v>
      </c>
      <c r="F103" s="7" t="s">
        <v>48</v>
      </c>
      <c r="G103" s="4" t="s">
        <v>81</v>
      </c>
      <c r="H103" s="5">
        <v>126</v>
      </c>
      <c r="I103" s="5">
        <v>94</v>
      </c>
      <c r="J103" s="6">
        <f t="shared" si="392"/>
        <v>0.74603174603174605</v>
      </c>
      <c r="K103" s="5">
        <v>70</v>
      </c>
      <c r="L103" s="5">
        <v>19</v>
      </c>
      <c r="M103" s="5">
        <v>8</v>
      </c>
      <c r="N103" s="9">
        <v>9</v>
      </c>
      <c r="O103" s="46">
        <f t="shared" si="393"/>
        <v>9.5744680851063829E-2</v>
      </c>
      <c r="P103" s="5">
        <v>3</v>
      </c>
      <c r="Q103" s="46">
        <f t="shared" ref="Q103" si="616">IFERROR(P103/$I103,"")</f>
        <v>3.1914893617021274E-2</v>
      </c>
      <c r="R103" s="5">
        <v>51</v>
      </c>
      <c r="S103" s="46">
        <f t="shared" ref="S103" si="617">IFERROR(R103/$I103,"")</f>
        <v>0.54255319148936165</v>
      </c>
      <c r="T103" s="5">
        <v>0</v>
      </c>
      <c r="U103" s="46">
        <f t="shared" ref="U103" si="618">IFERROR(T103/$I103,"")</f>
        <v>0</v>
      </c>
      <c r="V103" s="5">
        <v>9</v>
      </c>
      <c r="W103" s="46">
        <f t="shared" ref="W103" si="619">IFERROR(V103/$I103,"")</f>
        <v>9.5744680851063829E-2</v>
      </c>
      <c r="X103" s="5">
        <v>10</v>
      </c>
      <c r="Y103" s="46">
        <f t="shared" ref="Y103" si="620">IFERROR(X103/$I103,"")</f>
        <v>0.10638297872340426</v>
      </c>
      <c r="Z103" s="5">
        <v>1</v>
      </c>
      <c r="AA103" s="46">
        <f t="shared" ref="AA103" si="621">IFERROR(Z103/$I103,"")</f>
        <v>1.0638297872340425E-2</v>
      </c>
      <c r="AB103" s="5">
        <v>51</v>
      </c>
      <c r="AC103" s="46">
        <f t="shared" si="400"/>
        <v>0.40476190476190477</v>
      </c>
      <c r="AD103" s="5">
        <v>56</v>
      </c>
      <c r="AE103" s="5">
        <v>75016</v>
      </c>
      <c r="AF103" s="5">
        <f t="shared" si="401"/>
        <v>1470.9019607843138</v>
      </c>
      <c r="AG103" s="5">
        <v>0</v>
      </c>
      <c r="AH103" s="49">
        <f t="shared" si="402"/>
        <v>0</v>
      </c>
      <c r="AI103" s="5">
        <v>0</v>
      </c>
      <c r="AJ103" s="5">
        <v>4</v>
      </c>
      <c r="AK103" s="4">
        <v>29</v>
      </c>
      <c r="AL103" s="7">
        <v>21</v>
      </c>
      <c r="AM103" s="4">
        <v>4</v>
      </c>
      <c r="AN103" s="4">
        <v>4</v>
      </c>
      <c r="AO103" s="11">
        <f t="shared" si="403"/>
        <v>58.620689655172406</v>
      </c>
      <c r="AP103" s="50">
        <f t="shared" si="404"/>
        <v>0.23015873015873015</v>
      </c>
      <c r="AQ103" s="7">
        <v>126</v>
      </c>
      <c r="AR103" s="50">
        <f t="shared" si="405"/>
        <v>1</v>
      </c>
      <c r="AS103" s="4"/>
    </row>
    <row r="104" spans="1:45" ht="18" customHeight="1" x14ac:dyDescent="0.3">
      <c r="A104" s="4" t="s">
        <v>37</v>
      </c>
      <c r="B104" s="4" t="s">
        <v>82</v>
      </c>
      <c r="C104" s="4" t="s">
        <v>83</v>
      </c>
      <c r="D104" s="4" t="s">
        <v>84</v>
      </c>
      <c r="E104" s="4" t="s">
        <v>85</v>
      </c>
      <c r="F104" s="7" t="s">
        <v>48</v>
      </c>
      <c r="G104" s="4" t="s">
        <v>65</v>
      </c>
      <c r="H104" s="5">
        <v>123</v>
      </c>
      <c r="I104" s="5">
        <v>37</v>
      </c>
      <c r="J104" s="6">
        <f t="shared" si="392"/>
        <v>0.30081300813008133</v>
      </c>
      <c r="K104" s="5">
        <v>30</v>
      </c>
      <c r="L104" s="5">
        <v>18</v>
      </c>
      <c r="M104" s="5">
        <v>4</v>
      </c>
      <c r="N104" s="9">
        <v>8</v>
      </c>
      <c r="O104" s="46">
        <f t="shared" si="393"/>
        <v>0.21621621621621623</v>
      </c>
      <c r="P104" s="5">
        <v>4</v>
      </c>
      <c r="Q104" s="46">
        <f t="shared" ref="Q104" si="622">IFERROR(P104/$I104,"")</f>
        <v>0.10810810810810811</v>
      </c>
      <c r="R104" s="5">
        <v>18</v>
      </c>
      <c r="S104" s="46">
        <f t="shared" ref="S104" si="623">IFERROR(R104/$I104,"")</f>
        <v>0.48648648648648651</v>
      </c>
      <c r="T104" s="5">
        <v>0</v>
      </c>
      <c r="U104" s="46">
        <f t="shared" ref="U104" si="624">IFERROR(T104/$I104,"")</f>
        <v>0</v>
      </c>
      <c r="V104" s="5">
        <v>5</v>
      </c>
      <c r="W104" s="46">
        <f t="shared" ref="W104" si="625">IFERROR(V104/$I104,"")</f>
        <v>0.13513513513513514</v>
      </c>
      <c r="X104" s="5">
        <v>5</v>
      </c>
      <c r="Y104" s="46">
        <f t="shared" ref="Y104" si="626">IFERROR(X104/$I104,"")</f>
        <v>0.13513513513513514</v>
      </c>
      <c r="Z104" s="5">
        <v>1</v>
      </c>
      <c r="AA104" s="46">
        <f t="shared" ref="AA104" si="627">IFERROR(Z104/$I104,"")</f>
        <v>2.7027027027027029E-2</v>
      </c>
      <c r="AB104" s="5">
        <v>6</v>
      </c>
      <c r="AC104" s="46">
        <f t="shared" si="400"/>
        <v>4.878048780487805E-2</v>
      </c>
      <c r="AD104" s="5">
        <v>8</v>
      </c>
      <c r="AE104" s="5">
        <v>11496</v>
      </c>
      <c r="AF104" s="5">
        <f t="shared" si="401"/>
        <v>1916</v>
      </c>
      <c r="AG104" s="5">
        <v>0</v>
      </c>
      <c r="AH104" s="49">
        <f t="shared" si="402"/>
        <v>0</v>
      </c>
      <c r="AI104" s="5">
        <v>650</v>
      </c>
      <c r="AJ104" s="5">
        <v>1</v>
      </c>
      <c r="AK104" s="4">
        <v>13</v>
      </c>
      <c r="AL104" s="7">
        <v>13</v>
      </c>
      <c r="AM104" s="4">
        <v>0</v>
      </c>
      <c r="AN104" s="4">
        <v>0</v>
      </c>
      <c r="AO104" s="11">
        <f t="shared" si="403"/>
        <v>100</v>
      </c>
      <c r="AP104" s="50">
        <f t="shared" si="404"/>
        <v>0.10569105691056911</v>
      </c>
      <c r="AQ104" s="7">
        <v>123</v>
      </c>
      <c r="AR104" s="50">
        <f t="shared" si="405"/>
        <v>1</v>
      </c>
      <c r="AS104" s="4"/>
    </row>
    <row r="105" spans="1:45" ht="18" customHeight="1" x14ac:dyDescent="0.3">
      <c r="A105" s="4" t="s">
        <v>37</v>
      </c>
      <c r="B105" s="4" t="s">
        <v>82</v>
      </c>
      <c r="C105" s="4" t="s">
        <v>83</v>
      </c>
      <c r="D105" s="4" t="s">
        <v>86</v>
      </c>
      <c r="E105" s="4" t="s">
        <v>87</v>
      </c>
      <c r="F105" s="7" t="s">
        <v>48</v>
      </c>
      <c r="G105" s="4" t="s">
        <v>88</v>
      </c>
      <c r="H105" s="5">
        <v>187</v>
      </c>
      <c r="I105" s="5">
        <v>63</v>
      </c>
      <c r="J105" s="6">
        <f t="shared" si="392"/>
        <v>0.33689839572192515</v>
      </c>
      <c r="K105" s="5">
        <v>45</v>
      </c>
      <c r="L105" s="5">
        <v>11</v>
      </c>
      <c r="M105" s="5">
        <v>11</v>
      </c>
      <c r="N105" s="9">
        <v>8</v>
      </c>
      <c r="O105" s="46">
        <f t="shared" si="393"/>
        <v>0.12698412698412698</v>
      </c>
      <c r="P105" s="5">
        <v>1</v>
      </c>
      <c r="Q105" s="46">
        <f t="shared" ref="Q105" si="628">IFERROR(P105/$I105,"")</f>
        <v>1.5873015873015872E-2</v>
      </c>
      <c r="R105" s="5">
        <v>19</v>
      </c>
      <c r="S105" s="46">
        <f t="shared" ref="S105" si="629">IFERROR(R105/$I105,"")</f>
        <v>0.30158730158730157</v>
      </c>
      <c r="T105" s="5">
        <v>1</v>
      </c>
      <c r="U105" s="46">
        <f t="shared" ref="U105" si="630">IFERROR(T105/$I105,"")</f>
        <v>1.5873015873015872E-2</v>
      </c>
      <c r="V105" s="5">
        <v>3</v>
      </c>
      <c r="W105" s="46">
        <f t="shared" ref="W105" si="631">IFERROR(V105/$I105,"")</f>
        <v>4.7619047619047616E-2</v>
      </c>
      <c r="X105" s="5">
        <v>10</v>
      </c>
      <c r="Y105" s="46">
        <f t="shared" ref="Y105" si="632">IFERROR(X105/$I105,"")</f>
        <v>0.15873015873015872</v>
      </c>
      <c r="Z105" s="5">
        <v>3</v>
      </c>
      <c r="AA105" s="46">
        <f t="shared" ref="AA105" si="633">IFERROR(Z105/$I105,"")</f>
        <v>4.7619047619047616E-2</v>
      </c>
      <c r="AB105" s="5">
        <v>17</v>
      </c>
      <c r="AC105" s="46">
        <f t="shared" si="400"/>
        <v>9.0909090909090912E-2</v>
      </c>
      <c r="AD105" s="5">
        <v>24</v>
      </c>
      <c r="AE105" s="5">
        <v>24106</v>
      </c>
      <c r="AF105" s="5">
        <f t="shared" si="401"/>
        <v>1418</v>
      </c>
      <c r="AG105" s="5">
        <v>0</v>
      </c>
      <c r="AH105" s="49">
        <f t="shared" si="402"/>
        <v>0</v>
      </c>
      <c r="AI105" s="5">
        <v>0</v>
      </c>
      <c r="AJ105" s="5">
        <v>9</v>
      </c>
      <c r="AK105" s="4">
        <v>30</v>
      </c>
      <c r="AL105" s="7">
        <v>28</v>
      </c>
      <c r="AM105" s="4">
        <v>2</v>
      </c>
      <c r="AN105" s="4">
        <v>0</v>
      </c>
      <c r="AO105" s="11">
        <f t="shared" si="403"/>
        <v>93.333333333333329</v>
      </c>
      <c r="AP105" s="50">
        <f t="shared" si="404"/>
        <v>0.16042780748663102</v>
      </c>
      <c r="AQ105" s="7">
        <v>187</v>
      </c>
      <c r="AR105" s="50">
        <f t="shared" si="405"/>
        <v>1</v>
      </c>
      <c r="AS105" s="4"/>
    </row>
    <row r="106" spans="1:45" ht="18" customHeight="1" x14ac:dyDescent="0.3">
      <c r="A106" s="4" t="s">
        <v>37</v>
      </c>
      <c r="B106" s="4" t="s">
        <v>89</v>
      </c>
      <c r="C106" s="4" t="s">
        <v>83</v>
      </c>
      <c r="D106" s="4" t="s">
        <v>90</v>
      </c>
      <c r="E106" s="4" t="s">
        <v>91</v>
      </c>
      <c r="F106" s="7" t="s">
        <v>48</v>
      </c>
      <c r="G106" s="4" t="s">
        <v>54</v>
      </c>
      <c r="H106" s="5">
        <v>152</v>
      </c>
      <c r="I106" s="5">
        <v>64</v>
      </c>
      <c r="J106" s="6">
        <f t="shared" si="392"/>
        <v>0.42105263157894735</v>
      </c>
      <c r="K106" s="5">
        <v>51</v>
      </c>
      <c r="L106" s="5">
        <v>20</v>
      </c>
      <c r="M106" s="5">
        <v>10</v>
      </c>
      <c r="N106" s="9">
        <v>14</v>
      </c>
      <c r="O106" s="46">
        <f t="shared" si="393"/>
        <v>0.21875</v>
      </c>
      <c r="P106" s="5">
        <v>6</v>
      </c>
      <c r="Q106" s="46">
        <f t="shared" ref="Q106" si="634">IFERROR(P106/$I106,"")</f>
        <v>9.375E-2</v>
      </c>
      <c r="R106" s="5">
        <v>41</v>
      </c>
      <c r="S106" s="46">
        <f t="shared" ref="S106" si="635">IFERROR(R106/$I106,"")</f>
        <v>0.640625</v>
      </c>
      <c r="T106" s="5">
        <v>7</v>
      </c>
      <c r="U106" s="46">
        <f t="shared" ref="U106" si="636">IFERROR(T106/$I106,"")</f>
        <v>0.109375</v>
      </c>
      <c r="V106" s="5">
        <v>14</v>
      </c>
      <c r="W106" s="46">
        <f t="shared" ref="W106" si="637">IFERROR(V106/$I106,"")</f>
        <v>0.21875</v>
      </c>
      <c r="X106" s="5">
        <v>16</v>
      </c>
      <c r="Y106" s="46">
        <f t="shared" ref="Y106" si="638">IFERROR(X106/$I106,"")</f>
        <v>0.25</v>
      </c>
      <c r="Z106" s="5">
        <v>12</v>
      </c>
      <c r="AA106" s="46">
        <f t="shared" ref="AA106" si="639">IFERROR(Z106/$I106,"")</f>
        <v>0.1875</v>
      </c>
      <c r="AB106" s="5">
        <v>51</v>
      </c>
      <c r="AC106" s="46">
        <f t="shared" si="400"/>
        <v>0.33552631578947367</v>
      </c>
      <c r="AD106" s="5">
        <v>51</v>
      </c>
      <c r="AE106" s="5">
        <v>63304</v>
      </c>
      <c r="AF106" s="5">
        <f t="shared" si="401"/>
        <v>1241.2549019607843</v>
      </c>
      <c r="AG106" s="5">
        <v>1270.46</v>
      </c>
      <c r="AH106" s="49">
        <f t="shared" si="402"/>
        <v>19.850937500000001</v>
      </c>
      <c r="AI106" s="5">
        <v>20744</v>
      </c>
      <c r="AJ106" s="5">
        <v>30</v>
      </c>
      <c r="AK106" s="4">
        <v>26</v>
      </c>
      <c r="AL106" s="7">
        <v>26</v>
      </c>
      <c r="AM106" s="4">
        <v>0</v>
      </c>
      <c r="AN106" s="4">
        <v>0</v>
      </c>
      <c r="AO106" s="11">
        <f t="shared" si="403"/>
        <v>100</v>
      </c>
      <c r="AP106" s="50">
        <f t="shared" si="404"/>
        <v>0.17105263157894737</v>
      </c>
      <c r="AQ106" s="7">
        <v>152</v>
      </c>
      <c r="AR106" s="50">
        <f t="shared" si="405"/>
        <v>1</v>
      </c>
      <c r="AS106" s="4"/>
    </row>
    <row r="107" spans="1:45" ht="18" customHeight="1" x14ac:dyDescent="0.3">
      <c r="A107" s="4" t="s">
        <v>37</v>
      </c>
      <c r="B107" s="4" t="s">
        <v>89</v>
      </c>
      <c r="C107" s="4" t="s">
        <v>83</v>
      </c>
      <c r="D107" s="4" t="s">
        <v>92</v>
      </c>
      <c r="E107" s="4" t="s">
        <v>93</v>
      </c>
      <c r="F107" s="7" t="s">
        <v>48</v>
      </c>
      <c r="G107" s="4" t="s">
        <v>49</v>
      </c>
      <c r="H107" s="5">
        <v>178</v>
      </c>
      <c r="I107" s="5">
        <v>93</v>
      </c>
      <c r="J107" s="6">
        <f t="shared" si="392"/>
        <v>0.52247191011235961</v>
      </c>
      <c r="K107" s="5">
        <v>84</v>
      </c>
      <c r="L107" s="5">
        <v>25</v>
      </c>
      <c r="M107" s="5">
        <v>11</v>
      </c>
      <c r="N107" s="9">
        <v>14</v>
      </c>
      <c r="O107" s="46">
        <f t="shared" si="393"/>
        <v>0.15053763440860216</v>
      </c>
      <c r="P107" s="5">
        <v>5</v>
      </c>
      <c r="Q107" s="46">
        <f t="shared" ref="Q107" si="640">IFERROR(P107/$I107,"")</f>
        <v>5.3763440860215055E-2</v>
      </c>
      <c r="R107" s="5">
        <v>52</v>
      </c>
      <c r="S107" s="46">
        <f t="shared" ref="S107" si="641">IFERROR(R107/$I107,"")</f>
        <v>0.55913978494623651</v>
      </c>
      <c r="T107" s="5">
        <v>5</v>
      </c>
      <c r="U107" s="46">
        <f t="shared" ref="U107" si="642">IFERROR(T107/$I107,"")</f>
        <v>5.3763440860215055E-2</v>
      </c>
      <c r="V107" s="5">
        <v>19</v>
      </c>
      <c r="W107" s="46">
        <f t="shared" ref="W107" si="643">IFERROR(V107/$I107,"")</f>
        <v>0.20430107526881722</v>
      </c>
      <c r="X107" s="5">
        <v>19</v>
      </c>
      <c r="Y107" s="46">
        <f t="shared" ref="Y107" si="644">IFERROR(X107/$I107,"")</f>
        <v>0.20430107526881722</v>
      </c>
      <c r="Z107" s="5">
        <v>8</v>
      </c>
      <c r="AA107" s="46">
        <f t="shared" ref="AA107" si="645">IFERROR(Z107/$I107,"")</f>
        <v>8.6021505376344093E-2</v>
      </c>
      <c r="AB107" s="5">
        <v>53</v>
      </c>
      <c r="AC107" s="46">
        <f t="shared" si="400"/>
        <v>0.29775280898876405</v>
      </c>
      <c r="AD107" s="5">
        <v>60</v>
      </c>
      <c r="AE107" s="5">
        <v>91503</v>
      </c>
      <c r="AF107" s="5">
        <f t="shared" si="401"/>
        <v>1726.4716981132076</v>
      </c>
      <c r="AG107" s="5">
        <v>1247.6799999999998</v>
      </c>
      <c r="AH107" s="49">
        <f t="shared" si="402"/>
        <v>13.415913978494622</v>
      </c>
      <c r="AI107" s="5">
        <v>25496</v>
      </c>
      <c r="AJ107" s="5">
        <v>20</v>
      </c>
      <c r="AK107" s="4">
        <v>24</v>
      </c>
      <c r="AL107" s="7">
        <v>23</v>
      </c>
      <c r="AM107" s="4">
        <v>0</v>
      </c>
      <c r="AN107" s="4">
        <v>1</v>
      </c>
      <c r="AO107" s="11">
        <f t="shared" si="403"/>
        <v>91.666666666666657</v>
      </c>
      <c r="AP107" s="50">
        <f t="shared" si="404"/>
        <v>0.1348314606741573</v>
      </c>
      <c r="AQ107" s="7">
        <v>178</v>
      </c>
      <c r="AR107" s="50">
        <f t="shared" si="405"/>
        <v>1</v>
      </c>
      <c r="AS107" s="4"/>
    </row>
    <row r="108" spans="1:45" ht="18" customHeight="1" x14ac:dyDescent="0.3">
      <c r="A108" s="4" t="s">
        <v>37</v>
      </c>
      <c r="B108" s="4" t="s">
        <v>89</v>
      </c>
      <c r="C108" s="4" t="s">
        <v>83</v>
      </c>
      <c r="D108" s="4" t="s">
        <v>94</v>
      </c>
      <c r="E108" s="4" t="s">
        <v>95</v>
      </c>
      <c r="F108" s="7" t="s">
        <v>48</v>
      </c>
      <c r="G108" s="4" t="s">
        <v>81</v>
      </c>
      <c r="H108" s="5">
        <v>153</v>
      </c>
      <c r="I108" s="5">
        <v>87</v>
      </c>
      <c r="J108" s="6">
        <f t="shared" si="392"/>
        <v>0.56862745098039214</v>
      </c>
      <c r="K108" s="5">
        <v>80</v>
      </c>
      <c r="L108" s="5">
        <v>19</v>
      </c>
      <c r="M108" s="5">
        <v>3</v>
      </c>
      <c r="N108" s="9">
        <v>10</v>
      </c>
      <c r="O108" s="46">
        <f t="shared" si="393"/>
        <v>0.11494252873563218</v>
      </c>
      <c r="P108" s="5">
        <v>6</v>
      </c>
      <c r="Q108" s="46">
        <f t="shared" ref="Q108" si="646">IFERROR(P108/$I108,"")</f>
        <v>6.8965517241379309E-2</v>
      </c>
      <c r="R108" s="5">
        <v>48</v>
      </c>
      <c r="S108" s="46">
        <f t="shared" ref="S108" si="647">IFERROR(R108/$I108,"")</f>
        <v>0.55172413793103448</v>
      </c>
      <c r="T108" s="5">
        <v>5</v>
      </c>
      <c r="U108" s="46">
        <f t="shared" ref="U108" si="648">IFERROR(T108/$I108,"")</f>
        <v>5.7471264367816091E-2</v>
      </c>
      <c r="V108" s="5">
        <v>21</v>
      </c>
      <c r="W108" s="46">
        <f t="shared" ref="W108" si="649">IFERROR(V108/$I108,"")</f>
        <v>0.2413793103448276</v>
      </c>
      <c r="X108" s="5">
        <v>13</v>
      </c>
      <c r="Y108" s="46">
        <f t="shared" ref="Y108" si="650">IFERROR(X108/$I108,"")</f>
        <v>0.14942528735632185</v>
      </c>
      <c r="Z108" s="5">
        <v>9</v>
      </c>
      <c r="AA108" s="46">
        <f t="shared" ref="AA108" si="651">IFERROR(Z108/$I108,"")</f>
        <v>0.10344827586206896</v>
      </c>
      <c r="AB108" s="5">
        <v>53</v>
      </c>
      <c r="AC108" s="46">
        <f t="shared" si="400"/>
        <v>0.34640522875816993</v>
      </c>
      <c r="AD108" s="5">
        <v>58</v>
      </c>
      <c r="AE108" s="5">
        <v>86943</v>
      </c>
      <c r="AF108" s="5">
        <f t="shared" si="401"/>
        <v>1640.433962264151</v>
      </c>
      <c r="AG108" s="5">
        <v>3889.6500000000005</v>
      </c>
      <c r="AH108" s="49">
        <f t="shared" si="402"/>
        <v>44.708620689655177</v>
      </c>
      <c r="AI108" s="5">
        <v>9335</v>
      </c>
      <c r="AJ108" s="5">
        <v>22</v>
      </c>
      <c r="AK108" s="4">
        <v>32</v>
      </c>
      <c r="AL108" s="7">
        <v>29</v>
      </c>
      <c r="AM108" s="4">
        <v>3</v>
      </c>
      <c r="AN108" s="4">
        <v>0</v>
      </c>
      <c r="AO108" s="11">
        <f t="shared" si="403"/>
        <v>90.625</v>
      </c>
      <c r="AP108" s="50">
        <f t="shared" si="404"/>
        <v>0.20915032679738563</v>
      </c>
      <c r="AQ108" s="7">
        <v>153</v>
      </c>
      <c r="AR108" s="50">
        <f t="shared" si="405"/>
        <v>1</v>
      </c>
      <c r="AS108" s="4"/>
    </row>
    <row r="109" spans="1:45" ht="18" customHeight="1" x14ac:dyDescent="0.3">
      <c r="A109" s="4" t="s">
        <v>37</v>
      </c>
      <c r="B109" s="4" t="s">
        <v>89</v>
      </c>
      <c r="C109" s="4" t="s">
        <v>83</v>
      </c>
      <c r="D109" s="4" t="s">
        <v>96</v>
      </c>
      <c r="E109" s="4" t="s">
        <v>97</v>
      </c>
      <c r="F109" s="7" t="s">
        <v>48</v>
      </c>
      <c r="G109" s="4" t="s">
        <v>65</v>
      </c>
      <c r="H109" s="5">
        <v>199</v>
      </c>
      <c r="I109" s="5">
        <v>103</v>
      </c>
      <c r="J109" s="6">
        <f t="shared" si="392"/>
        <v>0.51758793969849248</v>
      </c>
      <c r="K109" s="5">
        <v>96</v>
      </c>
      <c r="L109" s="5">
        <v>36</v>
      </c>
      <c r="M109" s="5">
        <v>18</v>
      </c>
      <c r="N109" s="9">
        <v>25</v>
      </c>
      <c r="O109" s="46">
        <f t="shared" si="393"/>
        <v>0.24271844660194175</v>
      </c>
      <c r="P109" s="5">
        <v>8</v>
      </c>
      <c r="Q109" s="46">
        <f t="shared" ref="Q109" si="652">IFERROR(P109/$I109,"")</f>
        <v>7.7669902912621352E-2</v>
      </c>
      <c r="R109" s="5">
        <v>65</v>
      </c>
      <c r="S109" s="46">
        <f t="shared" ref="S109" si="653">IFERROR(R109/$I109,"")</f>
        <v>0.6310679611650486</v>
      </c>
      <c r="T109" s="5">
        <v>1</v>
      </c>
      <c r="U109" s="46">
        <f t="shared" ref="U109" si="654">IFERROR(T109/$I109,"")</f>
        <v>9.7087378640776691E-3</v>
      </c>
      <c r="V109" s="5">
        <v>27</v>
      </c>
      <c r="W109" s="46">
        <f t="shared" ref="W109" si="655">IFERROR(V109/$I109,"")</f>
        <v>0.26213592233009708</v>
      </c>
      <c r="X109" s="5">
        <v>14</v>
      </c>
      <c r="Y109" s="46">
        <f t="shared" ref="Y109" si="656">IFERROR(X109/$I109,"")</f>
        <v>0.13592233009708737</v>
      </c>
      <c r="Z109" s="5">
        <v>14</v>
      </c>
      <c r="AA109" s="46">
        <f t="shared" ref="AA109" si="657">IFERROR(Z109/$I109,"")</f>
        <v>0.13592233009708737</v>
      </c>
      <c r="AB109" s="5">
        <v>76</v>
      </c>
      <c r="AC109" s="46">
        <f t="shared" si="400"/>
        <v>0.38190954773869346</v>
      </c>
      <c r="AD109" s="5">
        <v>89</v>
      </c>
      <c r="AE109" s="5">
        <v>168172</v>
      </c>
      <c r="AF109" s="5">
        <f t="shared" si="401"/>
        <v>2212.7894736842104</v>
      </c>
      <c r="AG109" s="5">
        <v>574.15</v>
      </c>
      <c r="AH109" s="49">
        <f t="shared" si="402"/>
        <v>5.5742718446601938</v>
      </c>
      <c r="AI109" s="5">
        <v>0</v>
      </c>
      <c r="AJ109" s="5">
        <v>27</v>
      </c>
      <c r="AK109" s="4">
        <v>23</v>
      </c>
      <c r="AL109" s="7">
        <v>21</v>
      </c>
      <c r="AM109" s="4">
        <v>0</v>
      </c>
      <c r="AN109" s="4">
        <v>2</v>
      </c>
      <c r="AO109" s="11">
        <f t="shared" si="403"/>
        <v>82.608695652173907</v>
      </c>
      <c r="AP109" s="50">
        <f t="shared" si="404"/>
        <v>0.11557788944723618</v>
      </c>
      <c r="AQ109" s="7">
        <v>199</v>
      </c>
      <c r="AR109" s="50">
        <f t="shared" si="405"/>
        <v>1</v>
      </c>
      <c r="AS109" s="4"/>
    </row>
    <row r="110" spans="1:45" ht="18" customHeight="1" x14ac:dyDescent="0.3">
      <c r="A110" s="4" t="s">
        <v>37</v>
      </c>
      <c r="B110" s="4" t="s">
        <v>98</v>
      </c>
      <c r="C110" s="4" t="s">
        <v>47</v>
      </c>
      <c r="D110" s="4" t="s">
        <v>99</v>
      </c>
      <c r="E110" s="4" t="s">
        <v>100</v>
      </c>
      <c r="F110" s="7" t="s">
        <v>48</v>
      </c>
      <c r="G110" s="4" t="s">
        <v>54</v>
      </c>
      <c r="H110" s="5">
        <v>164</v>
      </c>
      <c r="I110" s="5">
        <v>135</v>
      </c>
      <c r="J110" s="6">
        <f t="shared" si="392"/>
        <v>0.82317073170731703</v>
      </c>
      <c r="K110" s="5">
        <v>125</v>
      </c>
      <c r="L110" s="5">
        <v>48</v>
      </c>
      <c r="M110" s="5">
        <v>35</v>
      </c>
      <c r="N110" s="9">
        <v>16</v>
      </c>
      <c r="O110" s="46">
        <f t="shared" si="393"/>
        <v>0.11851851851851852</v>
      </c>
      <c r="P110" s="5">
        <v>13</v>
      </c>
      <c r="Q110" s="46">
        <f t="shared" ref="Q110" si="658">IFERROR(P110/$I110,"")</f>
        <v>9.6296296296296297E-2</v>
      </c>
      <c r="R110" s="5">
        <v>64</v>
      </c>
      <c r="S110" s="46">
        <f t="shared" ref="S110" si="659">IFERROR(R110/$I110,"")</f>
        <v>0.47407407407407409</v>
      </c>
      <c r="T110" s="5">
        <v>7</v>
      </c>
      <c r="U110" s="46">
        <f t="shared" ref="U110" si="660">IFERROR(T110/$I110,"")</f>
        <v>5.185185185185185E-2</v>
      </c>
      <c r="V110" s="5">
        <v>39</v>
      </c>
      <c r="W110" s="46">
        <f t="shared" ref="W110" si="661">IFERROR(V110/$I110,"")</f>
        <v>0.28888888888888886</v>
      </c>
      <c r="X110" s="5">
        <v>29</v>
      </c>
      <c r="Y110" s="46">
        <f t="shared" ref="Y110" si="662">IFERROR(X110/$I110,"")</f>
        <v>0.21481481481481482</v>
      </c>
      <c r="Z110" s="5">
        <v>3</v>
      </c>
      <c r="AA110" s="46">
        <f t="shared" ref="AA110" si="663">IFERROR(Z110/$I110,"")</f>
        <v>2.2222222222222223E-2</v>
      </c>
      <c r="AB110" s="5">
        <v>108</v>
      </c>
      <c r="AC110" s="46">
        <f t="shared" si="400"/>
        <v>0.65853658536585369</v>
      </c>
      <c r="AD110" s="5">
        <v>158</v>
      </c>
      <c r="AE110" s="5">
        <v>197129</v>
      </c>
      <c r="AF110" s="5">
        <f t="shared" si="401"/>
        <v>1825.2685185185185</v>
      </c>
      <c r="AG110" s="5">
        <v>7654.27</v>
      </c>
      <c r="AH110" s="49">
        <f t="shared" si="402"/>
        <v>56.698296296296299</v>
      </c>
      <c r="AI110" s="5">
        <v>850</v>
      </c>
      <c r="AJ110" s="5">
        <v>10</v>
      </c>
      <c r="AK110" s="4">
        <v>36</v>
      </c>
      <c r="AL110" s="7">
        <v>34</v>
      </c>
      <c r="AM110" s="4">
        <v>1</v>
      </c>
      <c r="AN110" s="4">
        <v>1</v>
      </c>
      <c r="AO110" s="11">
        <f t="shared" si="403"/>
        <v>91.666666666666657</v>
      </c>
      <c r="AP110" s="50">
        <f t="shared" si="404"/>
        <v>0.21951219512195122</v>
      </c>
      <c r="AQ110" s="7">
        <v>164</v>
      </c>
      <c r="AR110" s="50">
        <f t="shared" si="405"/>
        <v>1</v>
      </c>
      <c r="AS110" s="4"/>
    </row>
    <row r="111" spans="1:45" ht="18" customHeight="1" x14ac:dyDescent="0.3">
      <c r="A111" s="4" t="s">
        <v>37</v>
      </c>
      <c r="B111" s="4" t="s">
        <v>98</v>
      </c>
      <c r="C111" s="4" t="s">
        <v>47</v>
      </c>
      <c r="D111" s="4" t="s">
        <v>101</v>
      </c>
      <c r="E111" s="4" t="s">
        <v>102</v>
      </c>
      <c r="F111" s="7" t="s">
        <v>48</v>
      </c>
      <c r="G111" s="4" t="s">
        <v>65</v>
      </c>
      <c r="H111" s="5">
        <v>127</v>
      </c>
      <c r="I111" s="5">
        <v>108</v>
      </c>
      <c r="J111" s="6">
        <f t="shared" si="392"/>
        <v>0.85039370078740162</v>
      </c>
      <c r="K111" s="5">
        <v>91</v>
      </c>
      <c r="L111" s="5">
        <v>29</v>
      </c>
      <c r="M111" s="5">
        <v>13</v>
      </c>
      <c r="N111" s="9">
        <v>8</v>
      </c>
      <c r="O111" s="46">
        <f t="shared" si="393"/>
        <v>7.407407407407407E-2</v>
      </c>
      <c r="P111" s="5">
        <v>2</v>
      </c>
      <c r="Q111" s="46">
        <f t="shared" ref="Q111" si="664">IFERROR(P111/$I111,"")</f>
        <v>1.8518518518518517E-2</v>
      </c>
      <c r="R111" s="5">
        <v>49</v>
      </c>
      <c r="S111" s="46">
        <f t="shared" ref="S111" si="665">IFERROR(R111/$I111,"")</f>
        <v>0.45370370370370372</v>
      </c>
      <c r="T111" s="5">
        <v>3</v>
      </c>
      <c r="U111" s="46">
        <f t="shared" ref="U111" si="666">IFERROR(T111/$I111,"")</f>
        <v>2.7777777777777776E-2</v>
      </c>
      <c r="V111" s="5">
        <v>17</v>
      </c>
      <c r="W111" s="46">
        <f t="shared" ref="W111" si="667">IFERROR(V111/$I111,"")</f>
        <v>0.15740740740740741</v>
      </c>
      <c r="X111" s="5">
        <v>5</v>
      </c>
      <c r="Y111" s="46">
        <f t="shared" ref="Y111" si="668">IFERROR(X111/$I111,"")</f>
        <v>4.6296296296296294E-2</v>
      </c>
      <c r="Z111" s="5">
        <v>8</v>
      </c>
      <c r="AA111" s="46">
        <f t="shared" ref="AA111" si="669">IFERROR(Z111/$I111,"")</f>
        <v>7.407407407407407E-2</v>
      </c>
      <c r="AB111" s="5">
        <v>73</v>
      </c>
      <c r="AC111" s="46">
        <f t="shared" si="400"/>
        <v>0.57480314960629919</v>
      </c>
      <c r="AD111" s="5">
        <v>97</v>
      </c>
      <c r="AE111" s="5">
        <v>165798</v>
      </c>
      <c r="AF111" s="5">
        <f t="shared" si="401"/>
        <v>2271.205479452055</v>
      </c>
      <c r="AG111" s="5">
        <v>1229.02</v>
      </c>
      <c r="AH111" s="49">
        <f t="shared" si="402"/>
        <v>11.379814814814814</v>
      </c>
      <c r="AI111" s="5">
        <v>13487</v>
      </c>
      <c r="AJ111" s="5">
        <v>15</v>
      </c>
      <c r="AK111" s="4">
        <v>27</v>
      </c>
      <c r="AL111" s="7">
        <v>25</v>
      </c>
      <c r="AM111" s="4">
        <v>2</v>
      </c>
      <c r="AN111" s="4">
        <v>0</v>
      </c>
      <c r="AO111" s="11">
        <f t="shared" si="403"/>
        <v>92.592592592592595</v>
      </c>
      <c r="AP111" s="50">
        <f t="shared" si="404"/>
        <v>0.2125984251968504</v>
      </c>
      <c r="AQ111" s="7">
        <v>127</v>
      </c>
      <c r="AR111" s="50">
        <f t="shared" si="405"/>
        <v>1</v>
      </c>
      <c r="AS111" s="4"/>
    </row>
    <row r="112" spans="1:45" ht="18" customHeight="1" x14ac:dyDescent="0.3">
      <c r="A112" s="4" t="s">
        <v>37</v>
      </c>
      <c r="B112" s="4" t="s">
        <v>98</v>
      </c>
      <c r="C112" s="4" t="s">
        <v>47</v>
      </c>
      <c r="D112" s="4" t="s">
        <v>103</v>
      </c>
      <c r="E112" s="4" t="s">
        <v>104</v>
      </c>
      <c r="F112" s="7" t="s">
        <v>48</v>
      </c>
      <c r="G112" s="4" t="s">
        <v>65</v>
      </c>
      <c r="H112" s="5">
        <v>146</v>
      </c>
      <c r="I112" s="5">
        <v>122</v>
      </c>
      <c r="J112" s="6">
        <f t="shared" si="392"/>
        <v>0.83561643835616439</v>
      </c>
      <c r="K112" s="5">
        <v>109</v>
      </c>
      <c r="L112" s="5">
        <v>42</v>
      </c>
      <c r="M112" s="5">
        <v>22</v>
      </c>
      <c r="N112" s="9">
        <v>17</v>
      </c>
      <c r="O112" s="46">
        <f t="shared" si="393"/>
        <v>0.13934426229508196</v>
      </c>
      <c r="P112" s="5">
        <v>1</v>
      </c>
      <c r="Q112" s="46">
        <f t="shared" ref="Q112" si="670">IFERROR(P112/$I112,"")</f>
        <v>8.1967213114754103E-3</v>
      </c>
      <c r="R112" s="5">
        <v>72</v>
      </c>
      <c r="S112" s="46">
        <f t="shared" ref="S112" si="671">IFERROR(R112/$I112,"")</f>
        <v>0.5901639344262295</v>
      </c>
      <c r="T112" s="5">
        <v>2</v>
      </c>
      <c r="U112" s="46">
        <f t="shared" ref="U112" si="672">IFERROR(T112/$I112,"")</f>
        <v>1.6393442622950821E-2</v>
      </c>
      <c r="V112" s="5">
        <v>21</v>
      </c>
      <c r="W112" s="46">
        <f t="shared" ref="W112" si="673">IFERROR(V112/$I112,"")</f>
        <v>0.1721311475409836</v>
      </c>
      <c r="X112" s="5">
        <v>24</v>
      </c>
      <c r="Y112" s="46">
        <f t="shared" ref="Y112" si="674">IFERROR(X112/$I112,"")</f>
        <v>0.19672131147540983</v>
      </c>
      <c r="Z112" s="5">
        <v>19</v>
      </c>
      <c r="AA112" s="46">
        <f t="shared" ref="AA112" si="675">IFERROR(Z112/$I112,"")</f>
        <v>0.15573770491803279</v>
      </c>
      <c r="AB112" s="5">
        <v>92</v>
      </c>
      <c r="AC112" s="46">
        <f t="shared" si="400"/>
        <v>0.63013698630136983</v>
      </c>
      <c r="AD112" s="5">
        <v>126</v>
      </c>
      <c r="AE112" s="5">
        <v>199162</v>
      </c>
      <c r="AF112" s="5">
        <f t="shared" si="401"/>
        <v>2164.804347826087</v>
      </c>
      <c r="AG112" s="5">
        <v>4095.7799999999997</v>
      </c>
      <c r="AH112" s="49">
        <f t="shared" si="402"/>
        <v>33.571967213114753</v>
      </c>
      <c r="AI112" s="5">
        <v>0</v>
      </c>
      <c r="AJ112" s="5">
        <v>14</v>
      </c>
      <c r="AK112" s="4">
        <v>22</v>
      </c>
      <c r="AL112" s="7">
        <v>21</v>
      </c>
      <c r="AM112" s="4">
        <v>1</v>
      </c>
      <c r="AN112" s="4">
        <v>0</v>
      </c>
      <c r="AO112" s="11">
        <f t="shared" si="403"/>
        <v>95.454545454545453</v>
      </c>
      <c r="AP112" s="50">
        <f t="shared" si="404"/>
        <v>0.15068493150684931</v>
      </c>
      <c r="AQ112" s="7">
        <v>146</v>
      </c>
      <c r="AR112" s="50">
        <f t="shared" si="405"/>
        <v>1</v>
      </c>
      <c r="AS112" s="4"/>
    </row>
    <row r="113" spans="1:45" ht="18" customHeight="1" x14ac:dyDescent="0.3">
      <c r="A113" s="4" t="s">
        <v>37</v>
      </c>
      <c r="B113" s="4" t="s">
        <v>98</v>
      </c>
      <c r="C113" s="4" t="s">
        <v>47</v>
      </c>
      <c r="D113" s="4" t="s">
        <v>105</v>
      </c>
      <c r="E113" s="4" t="s">
        <v>106</v>
      </c>
      <c r="F113" s="7" t="s">
        <v>48</v>
      </c>
      <c r="G113" s="4" t="s">
        <v>72</v>
      </c>
      <c r="H113" s="5">
        <v>164</v>
      </c>
      <c r="I113" s="5">
        <v>126</v>
      </c>
      <c r="J113" s="6">
        <f t="shared" si="392"/>
        <v>0.76829268292682928</v>
      </c>
      <c r="K113" s="5">
        <v>125</v>
      </c>
      <c r="L113" s="5">
        <v>41</v>
      </c>
      <c r="M113" s="5">
        <v>18</v>
      </c>
      <c r="N113" s="9">
        <v>19</v>
      </c>
      <c r="O113" s="46">
        <f t="shared" si="393"/>
        <v>0.15079365079365079</v>
      </c>
      <c r="P113" s="5">
        <v>5</v>
      </c>
      <c r="Q113" s="46">
        <f t="shared" ref="Q113" si="676">IFERROR(P113/$I113,"")</f>
        <v>3.968253968253968E-2</v>
      </c>
      <c r="R113" s="5">
        <v>78</v>
      </c>
      <c r="S113" s="46">
        <f t="shared" ref="S113" si="677">IFERROR(R113/$I113,"")</f>
        <v>0.61904761904761907</v>
      </c>
      <c r="T113" s="5">
        <v>2</v>
      </c>
      <c r="U113" s="46">
        <f t="shared" ref="U113" si="678">IFERROR(T113/$I113,"")</f>
        <v>1.5873015873015872E-2</v>
      </c>
      <c r="V113" s="5">
        <v>25</v>
      </c>
      <c r="W113" s="46">
        <f t="shared" ref="W113" si="679">IFERROR(V113/$I113,"")</f>
        <v>0.1984126984126984</v>
      </c>
      <c r="X113" s="5">
        <v>15</v>
      </c>
      <c r="Y113" s="46">
        <f t="shared" ref="Y113" si="680">IFERROR(X113/$I113,"")</f>
        <v>0.11904761904761904</v>
      </c>
      <c r="Z113" s="5">
        <v>18</v>
      </c>
      <c r="AA113" s="46">
        <f t="shared" ref="AA113" si="681">IFERROR(Z113/$I113,"")</f>
        <v>0.14285714285714285</v>
      </c>
      <c r="AB113" s="5">
        <v>112</v>
      </c>
      <c r="AC113" s="46">
        <f t="shared" si="400"/>
        <v>0.68292682926829273</v>
      </c>
      <c r="AD113" s="5">
        <v>136</v>
      </c>
      <c r="AE113" s="5">
        <v>172831</v>
      </c>
      <c r="AF113" s="5">
        <f t="shared" si="401"/>
        <v>1543.1339285714287</v>
      </c>
      <c r="AG113" s="5">
        <v>1543.26</v>
      </c>
      <c r="AH113" s="49">
        <f t="shared" si="402"/>
        <v>12.248095238095239</v>
      </c>
      <c r="AI113" s="5">
        <v>4841</v>
      </c>
      <c r="AJ113" s="5">
        <v>9</v>
      </c>
      <c r="AK113" s="4">
        <v>47</v>
      </c>
      <c r="AL113" s="7">
        <v>41</v>
      </c>
      <c r="AM113" s="4">
        <v>4</v>
      </c>
      <c r="AN113" s="4">
        <v>2</v>
      </c>
      <c r="AO113" s="11">
        <f t="shared" si="403"/>
        <v>82.978723404255319</v>
      </c>
      <c r="AP113" s="50">
        <f t="shared" si="404"/>
        <v>0.28658536585365851</v>
      </c>
      <c r="AQ113" s="7">
        <v>164</v>
      </c>
      <c r="AR113" s="50">
        <f t="shared" si="405"/>
        <v>1</v>
      </c>
      <c r="AS113" s="4"/>
    </row>
    <row r="114" spans="1:45" ht="18" customHeight="1" x14ac:dyDescent="0.3">
      <c r="A114" s="4" t="s">
        <v>37</v>
      </c>
      <c r="B114" s="4" t="s">
        <v>98</v>
      </c>
      <c r="C114" s="4" t="s">
        <v>47</v>
      </c>
      <c r="D114" s="4" t="s">
        <v>107</v>
      </c>
      <c r="E114" s="4" t="s">
        <v>108</v>
      </c>
      <c r="F114" s="7" t="s">
        <v>48</v>
      </c>
      <c r="G114" s="4" t="s">
        <v>81</v>
      </c>
      <c r="H114" s="5">
        <v>148</v>
      </c>
      <c r="I114" s="5">
        <v>111</v>
      </c>
      <c r="J114" s="6">
        <f t="shared" si="392"/>
        <v>0.75</v>
      </c>
      <c r="K114" s="5">
        <v>102</v>
      </c>
      <c r="L114" s="5">
        <v>35</v>
      </c>
      <c r="M114" s="5">
        <v>26</v>
      </c>
      <c r="N114" s="9">
        <v>21</v>
      </c>
      <c r="O114" s="46">
        <f t="shared" si="393"/>
        <v>0.1891891891891892</v>
      </c>
      <c r="P114" s="5">
        <v>8</v>
      </c>
      <c r="Q114" s="46">
        <f t="shared" ref="Q114" si="682">IFERROR(P114/$I114,"")</f>
        <v>7.2072072072072071E-2</v>
      </c>
      <c r="R114" s="5">
        <v>62</v>
      </c>
      <c r="S114" s="46">
        <f t="shared" ref="S114" si="683">IFERROR(R114/$I114,"")</f>
        <v>0.55855855855855852</v>
      </c>
      <c r="T114" s="5">
        <v>2</v>
      </c>
      <c r="U114" s="46">
        <f t="shared" ref="U114" si="684">IFERROR(T114/$I114,"")</f>
        <v>1.8018018018018018E-2</v>
      </c>
      <c r="V114" s="5">
        <v>25</v>
      </c>
      <c r="W114" s="46">
        <f t="shared" ref="W114" si="685">IFERROR(V114/$I114,"")</f>
        <v>0.22522522522522523</v>
      </c>
      <c r="X114" s="5">
        <v>27</v>
      </c>
      <c r="Y114" s="46">
        <f t="shared" ref="Y114" si="686">IFERROR(X114/$I114,"")</f>
        <v>0.24324324324324326</v>
      </c>
      <c r="Z114" s="5">
        <v>17</v>
      </c>
      <c r="AA114" s="46">
        <f t="shared" ref="AA114" si="687">IFERROR(Z114/$I114,"")</f>
        <v>0.15315315315315314</v>
      </c>
      <c r="AB114" s="5">
        <v>78</v>
      </c>
      <c r="AC114" s="46">
        <f t="shared" si="400"/>
        <v>0.52702702702702697</v>
      </c>
      <c r="AD114" s="5">
        <v>127</v>
      </c>
      <c r="AE114" s="5">
        <v>190541.95</v>
      </c>
      <c r="AF114" s="5">
        <f t="shared" si="401"/>
        <v>2442.8455128205128</v>
      </c>
      <c r="AG114" s="5">
        <v>3283.6200000000003</v>
      </c>
      <c r="AH114" s="49">
        <f t="shared" si="402"/>
        <v>29.582162162162167</v>
      </c>
      <c r="AI114" s="5">
        <v>18137.22</v>
      </c>
      <c r="AJ114" s="5">
        <v>15</v>
      </c>
      <c r="AK114" s="4">
        <v>26</v>
      </c>
      <c r="AL114" s="7">
        <v>23</v>
      </c>
      <c r="AM114" s="4">
        <v>2</v>
      </c>
      <c r="AN114" s="4">
        <v>1</v>
      </c>
      <c r="AO114" s="11">
        <f t="shared" si="403"/>
        <v>84.615384615384613</v>
      </c>
      <c r="AP114" s="50">
        <f t="shared" si="404"/>
        <v>0.17567567567567569</v>
      </c>
      <c r="AQ114" s="7">
        <v>148</v>
      </c>
      <c r="AR114" s="50">
        <f t="shared" si="405"/>
        <v>1</v>
      </c>
      <c r="AS114" s="4"/>
    </row>
    <row r="115" spans="1:45" ht="18" customHeight="1" x14ac:dyDescent="0.3">
      <c r="A115" s="4" t="s">
        <v>37</v>
      </c>
      <c r="B115" s="4" t="s">
        <v>98</v>
      </c>
      <c r="C115" s="4" t="s">
        <v>47</v>
      </c>
      <c r="D115" s="4" t="s">
        <v>111</v>
      </c>
      <c r="E115" s="4" t="s">
        <v>112</v>
      </c>
      <c r="F115" s="7" t="s">
        <v>48</v>
      </c>
      <c r="G115" s="4" t="s">
        <v>61</v>
      </c>
      <c r="H115" s="5">
        <v>144</v>
      </c>
      <c r="I115" s="5">
        <v>121</v>
      </c>
      <c r="J115" s="6">
        <f t="shared" si="392"/>
        <v>0.84027777777777779</v>
      </c>
      <c r="K115" s="5">
        <v>104</v>
      </c>
      <c r="L115" s="5">
        <v>26</v>
      </c>
      <c r="M115" s="5">
        <v>13</v>
      </c>
      <c r="N115" s="9">
        <v>11</v>
      </c>
      <c r="O115" s="46">
        <f t="shared" si="393"/>
        <v>9.0909090909090912E-2</v>
      </c>
      <c r="P115" s="5">
        <v>7</v>
      </c>
      <c r="Q115" s="46">
        <f t="shared" ref="Q115" si="688">IFERROR(P115/$I115,"")</f>
        <v>5.7851239669421489E-2</v>
      </c>
      <c r="R115" s="5">
        <v>60</v>
      </c>
      <c r="S115" s="46">
        <f t="shared" ref="S115" si="689">IFERROR(R115/$I115,"")</f>
        <v>0.49586776859504134</v>
      </c>
      <c r="T115" s="5">
        <v>0</v>
      </c>
      <c r="U115" s="46">
        <f t="shared" ref="U115" si="690">IFERROR(T115/$I115,"")</f>
        <v>0</v>
      </c>
      <c r="V115" s="5">
        <v>20</v>
      </c>
      <c r="W115" s="46">
        <f t="shared" ref="W115" si="691">IFERROR(V115/$I115,"")</f>
        <v>0.16528925619834711</v>
      </c>
      <c r="X115" s="5">
        <v>23</v>
      </c>
      <c r="Y115" s="46">
        <f t="shared" ref="Y115" si="692">IFERROR(X115/$I115,"")</f>
        <v>0.19008264462809918</v>
      </c>
      <c r="Z115" s="5">
        <v>11</v>
      </c>
      <c r="AA115" s="46">
        <f t="shared" ref="AA115" si="693">IFERROR(Z115/$I115,"")</f>
        <v>9.0909090909090912E-2</v>
      </c>
      <c r="AB115" s="5">
        <v>91</v>
      </c>
      <c r="AC115" s="46">
        <f t="shared" si="400"/>
        <v>0.63194444444444442</v>
      </c>
      <c r="AD115" s="5">
        <v>133</v>
      </c>
      <c r="AE115" s="5">
        <v>211566</v>
      </c>
      <c r="AF115" s="5">
        <f t="shared" si="401"/>
        <v>2324.901098901099</v>
      </c>
      <c r="AG115" s="5">
        <v>0</v>
      </c>
      <c r="AH115" s="49">
        <f t="shared" si="402"/>
        <v>0</v>
      </c>
      <c r="AI115" s="5">
        <v>8537</v>
      </c>
      <c r="AJ115" s="5">
        <v>12</v>
      </c>
      <c r="AK115" s="4">
        <v>32</v>
      </c>
      <c r="AL115" s="7">
        <v>31</v>
      </c>
      <c r="AM115" s="4">
        <v>1</v>
      </c>
      <c r="AN115" s="4">
        <v>0</v>
      </c>
      <c r="AO115" s="11">
        <f t="shared" si="403"/>
        <v>96.875</v>
      </c>
      <c r="AP115" s="50">
        <f t="shared" si="404"/>
        <v>0.22222222222222221</v>
      </c>
      <c r="AQ115" s="7">
        <v>144</v>
      </c>
      <c r="AR115" s="50">
        <f t="shared" si="405"/>
        <v>1</v>
      </c>
      <c r="AS115" s="4"/>
    </row>
    <row r="116" spans="1:45" ht="18" customHeight="1" x14ac:dyDescent="0.3">
      <c r="A116" s="4" t="s">
        <v>37</v>
      </c>
      <c r="B116" s="4" t="s">
        <v>98</v>
      </c>
      <c r="C116" s="4" t="s">
        <v>47</v>
      </c>
      <c r="D116" s="4" t="s">
        <v>113</v>
      </c>
      <c r="E116" s="4" t="s">
        <v>114</v>
      </c>
      <c r="F116" s="7" t="s">
        <v>48</v>
      </c>
      <c r="G116" s="4" t="s">
        <v>61</v>
      </c>
      <c r="H116" s="5">
        <v>133</v>
      </c>
      <c r="I116" s="5">
        <v>112</v>
      </c>
      <c r="J116" s="6">
        <f t="shared" si="392"/>
        <v>0.84210526315789469</v>
      </c>
      <c r="K116" s="5">
        <v>102</v>
      </c>
      <c r="L116" s="5">
        <v>17</v>
      </c>
      <c r="M116" s="5">
        <v>19</v>
      </c>
      <c r="N116" s="9">
        <v>8</v>
      </c>
      <c r="O116" s="46">
        <f t="shared" si="393"/>
        <v>7.1428571428571425E-2</v>
      </c>
      <c r="P116" s="5">
        <v>2</v>
      </c>
      <c r="Q116" s="46">
        <f t="shared" ref="Q116" si="694">IFERROR(P116/$I116,"")</f>
        <v>1.7857142857142856E-2</v>
      </c>
      <c r="R116" s="5">
        <v>45</v>
      </c>
      <c r="S116" s="46">
        <f t="shared" ref="S116" si="695">IFERROR(R116/$I116,"")</f>
        <v>0.4017857142857143</v>
      </c>
      <c r="T116" s="5">
        <v>0</v>
      </c>
      <c r="U116" s="46">
        <f t="shared" ref="U116" si="696">IFERROR(T116/$I116,"")</f>
        <v>0</v>
      </c>
      <c r="V116" s="5">
        <v>11</v>
      </c>
      <c r="W116" s="46">
        <f t="shared" ref="W116" si="697">IFERROR(V116/$I116,"")</f>
        <v>9.8214285714285712E-2</v>
      </c>
      <c r="X116" s="5">
        <v>16</v>
      </c>
      <c r="Y116" s="46">
        <f t="shared" ref="Y116" si="698">IFERROR(X116/$I116,"")</f>
        <v>0.14285714285714285</v>
      </c>
      <c r="Z116" s="5">
        <v>5</v>
      </c>
      <c r="AA116" s="46">
        <f t="shared" ref="AA116" si="699">IFERROR(Z116/$I116,"")</f>
        <v>4.4642857142857144E-2</v>
      </c>
      <c r="AB116" s="5">
        <v>81</v>
      </c>
      <c r="AC116" s="46">
        <f t="shared" si="400"/>
        <v>0.60902255639097747</v>
      </c>
      <c r="AD116" s="5">
        <v>91</v>
      </c>
      <c r="AE116" s="5">
        <v>96339</v>
      </c>
      <c r="AF116" s="5">
        <f t="shared" si="401"/>
        <v>1189.3703703703704</v>
      </c>
      <c r="AG116" s="5">
        <v>0</v>
      </c>
      <c r="AH116" s="49">
        <f t="shared" si="402"/>
        <v>0</v>
      </c>
      <c r="AI116" s="5">
        <v>19546</v>
      </c>
      <c r="AJ116" s="5">
        <v>17</v>
      </c>
      <c r="AK116" s="4">
        <v>23</v>
      </c>
      <c r="AL116" s="7">
        <v>19</v>
      </c>
      <c r="AM116" s="4">
        <v>4</v>
      </c>
      <c r="AN116" s="4">
        <v>0</v>
      </c>
      <c r="AO116" s="11">
        <f t="shared" si="403"/>
        <v>82.608695652173907</v>
      </c>
      <c r="AP116" s="50">
        <f t="shared" si="404"/>
        <v>0.17293233082706766</v>
      </c>
      <c r="AQ116" s="7">
        <v>133</v>
      </c>
      <c r="AR116" s="50">
        <f t="shared" si="405"/>
        <v>1</v>
      </c>
      <c r="AS116" s="4"/>
    </row>
    <row r="117" spans="1:45" ht="18" customHeight="1" x14ac:dyDescent="0.3">
      <c r="A117" s="4" t="s">
        <v>37</v>
      </c>
      <c r="B117" s="4" t="s">
        <v>98</v>
      </c>
      <c r="C117" s="4" t="s">
        <v>47</v>
      </c>
      <c r="D117" s="4"/>
      <c r="E117" s="4" t="s">
        <v>148</v>
      </c>
      <c r="F117" s="7" t="s">
        <v>48</v>
      </c>
      <c r="G117" s="4" t="s">
        <v>61</v>
      </c>
      <c r="H117" s="5">
        <v>60</v>
      </c>
      <c r="I117" s="5">
        <v>52</v>
      </c>
      <c r="J117" s="6">
        <f t="shared" si="392"/>
        <v>0.8666666666666667</v>
      </c>
      <c r="K117" s="5">
        <v>43</v>
      </c>
      <c r="L117" s="5">
        <v>12</v>
      </c>
      <c r="M117" s="5">
        <v>4</v>
      </c>
      <c r="N117" s="9">
        <v>0</v>
      </c>
      <c r="O117" s="46">
        <f t="shared" si="393"/>
        <v>0</v>
      </c>
      <c r="P117" s="5">
        <v>2</v>
      </c>
      <c r="Q117" s="46">
        <f t="shared" ref="Q117" si="700">IFERROR(P117/$I117,"")</f>
        <v>3.8461538461538464E-2</v>
      </c>
      <c r="R117" s="5">
        <v>24</v>
      </c>
      <c r="S117" s="46">
        <f t="shared" ref="S117" si="701">IFERROR(R117/$I117,"")</f>
        <v>0.46153846153846156</v>
      </c>
      <c r="T117" s="5">
        <v>1</v>
      </c>
      <c r="U117" s="46">
        <f t="shared" ref="U117" si="702">IFERROR(T117/$I117,"")</f>
        <v>1.9230769230769232E-2</v>
      </c>
      <c r="V117" s="5">
        <v>5</v>
      </c>
      <c r="W117" s="46">
        <f t="shared" ref="W117" si="703">IFERROR(V117/$I117,"")</f>
        <v>9.6153846153846159E-2</v>
      </c>
      <c r="X117" s="5">
        <v>5</v>
      </c>
      <c r="Y117" s="46">
        <f t="shared" ref="Y117" si="704">IFERROR(X117/$I117,"")</f>
        <v>9.6153846153846159E-2</v>
      </c>
      <c r="Z117" s="5">
        <v>10</v>
      </c>
      <c r="AA117" s="46">
        <f t="shared" ref="AA117" si="705">IFERROR(Z117/$I117,"")</f>
        <v>0.19230769230769232</v>
      </c>
      <c r="AB117" s="5">
        <v>29</v>
      </c>
      <c r="AC117" s="46">
        <f t="shared" si="400"/>
        <v>0.48333333333333334</v>
      </c>
      <c r="AD117" s="5">
        <v>45</v>
      </c>
      <c r="AE117" s="5">
        <v>65947</v>
      </c>
      <c r="AF117" s="5">
        <f t="shared" si="401"/>
        <v>2274.0344827586205</v>
      </c>
      <c r="AG117" s="5">
        <v>0</v>
      </c>
      <c r="AH117" s="49">
        <f t="shared" si="402"/>
        <v>0</v>
      </c>
      <c r="AI117" s="5">
        <v>4897</v>
      </c>
      <c r="AJ117" s="5">
        <v>6</v>
      </c>
      <c r="AK117" s="4">
        <v>7</v>
      </c>
      <c r="AL117" s="7">
        <v>6</v>
      </c>
      <c r="AM117" s="4">
        <v>1</v>
      </c>
      <c r="AN117" s="4">
        <v>0</v>
      </c>
      <c r="AO117" s="11">
        <f t="shared" si="403"/>
        <v>85.714285714285708</v>
      </c>
      <c r="AP117" s="50">
        <f t="shared" si="404"/>
        <v>0.11666666666666667</v>
      </c>
      <c r="AQ117" s="7">
        <v>60</v>
      </c>
      <c r="AR117" s="50">
        <f t="shared" si="405"/>
        <v>1</v>
      </c>
      <c r="AS117" s="4"/>
    </row>
    <row r="118" spans="1:45" ht="18" customHeight="1" x14ac:dyDescent="0.3">
      <c r="A118" s="4" t="s">
        <v>37</v>
      </c>
      <c r="B118" s="4" t="s">
        <v>115</v>
      </c>
      <c r="C118" s="4" t="s">
        <v>47</v>
      </c>
      <c r="D118" s="4" t="s">
        <v>109</v>
      </c>
      <c r="E118" s="4" t="s">
        <v>152</v>
      </c>
      <c r="F118" s="7" t="s">
        <v>48</v>
      </c>
      <c r="G118" s="4" t="s">
        <v>88</v>
      </c>
      <c r="H118" s="5">
        <v>187</v>
      </c>
      <c r="I118" s="5">
        <v>139</v>
      </c>
      <c r="J118" s="6">
        <f t="shared" si="392"/>
        <v>0.74331550802139035</v>
      </c>
      <c r="K118" s="5">
        <v>109</v>
      </c>
      <c r="L118" s="5">
        <v>25</v>
      </c>
      <c r="M118" s="5">
        <v>15</v>
      </c>
      <c r="N118" s="9">
        <v>13</v>
      </c>
      <c r="O118" s="46">
        <f t="shared" si="393"/>
        <v>9.3525179856115109E-2</v>
      </c>
      <c r="P118" s="5">
        <v>6</v>
      </c>
      <c r="Q118" s="46">
        <f t="shared" ref="Q118" si="706">IFERROR(P118/$I118,"")</f>
        <v>4.3165467625899283E-2</v>
      </c>
      <c r="R118" s="5">
        <v>67</v>
      </c>
      <c r="S118" s="46">
        <f t="shared" ref="S118" si="707">IFERROR(R118/$I118,"")</f>
        <v>0.48201438848920863</v>
      </c>
      <c r="T118" s="5">
        <v>1</v>
      </c>
      <c r="U118" s="46">
        <f t="shared" ref="U118" si="708">IFERROR(T118/$I118,"")</f>
        <v>7.1942446043165471E-3</v>
      </c>
      <c r="V118" s="5">
        <v>20</v>
      </c>
      <c r="W118" s="46">
        <f t="shared" ref="W118" si="709">IFERROR(V118/$I118,"")</f>
        <v>0.14388489208633093</v>
      </c>
      <c r="X118" s="5">
        <v>9</v>
      </c>
      <c r="Y118" s="46">
        <f t="shared" ref="Y118" si="710">IFERROR(X118/$I118,"")</f>
        <v>6.4748201438848921E-2</v>
      </c>
      <c r="Z118" s="5">
        <v>5</v>
      </c>
      <c r="AA118" s="46">
        <f t="shared" ref="AA118" si="711">IFERROR(Z118/$I118,"")</f>
        <v>3.5971223021582732E-2</v>
      </c>
      <c r="AB118" s="5">
        <v>30</v>
      </c>
      <c r="AC118" s="46">
        <f t="shared" si="400"/>
        <v>0.16042780748663102</v>
      </c>
      <c r="AD118" s="5">
        <v>34</v>
      </c>
      <c r="AE118" s="5">
        <v>50878</v>
      </c>
      <c r="AF118" s="5">
        <f t="shared" si="401"/>
        <v>1695.9333333333334</v>
      </c>
      <c r="AG118" s="5">
        <v>1026.99</v>
      </c>
      <c r="AH118" s="49">
        <f t="shared" si="402"/>
        <v>7.3884172661870506</v>
      </c>
      <c r="AI118" s="5">
        <v>14090.22</v>
      </c>
      <c r="AJ118" s="5">
        <v>16</v>
      </c>
      <c r="AK118" s="4">
        <v>33</v>
      </c>
      <c r="AL118" s="7">
        <v>30</v>
      </c>
      <c r="AM118" s="4">
        <v>2</v>
      </c>
      <c r="AN118" s="4">
        <v>1</v>
      </c>
      <c r="AO118" s="11">
        <f t="shared" si="403"/>
        <v>87.878787878787875</v>
      </c>
      <c r="AP118" s="50">
        <f t="shared" si="404"/>
        <v>0.17647058823529413</v>
      </c>
      <c r="AQ118" s="7">
        <v>187</v>
      </c>
      <c r="AR118" s="50">
        <f t="shared" si="405"/>
        <v>1</v>
      </c>
      <c r="AS118" s="4"/>
    </row>
    <row r="119" spans="1:45" ht="18" customHeight="1" x14ac:dyDescent="0.3">
      <c r="A119" s="4" t="s">
        <v>37</v>
      </c>
      <c r="B119" s="4" t="s">
        <v>118</v>
      </c>
      <c r="C119" s="4" t="s">
        <v>47</v>
      </c>
      <c r="D119" s="4" t="s">
        <v>119</v>
      </c>
      <c r="E119" s="4" t="s">
        <v>120</v>
      </c>
      <c r="F119" s="7" t="s">
        <v>48</v>
      </c>
      <c r="G119" s="4" t="s">
        <v>72</v>
      </c>
      <c r="H119" s="5">
        <v>97</v>
      </c>
      <c r="I119" s="5">
        <v>77</v>
      </c>
      <c r="J119" s="6">
        <f t="shared" si="392"/>
        <v>0.79381443298969068</v>
      </c>
      <c r="K119" s="5">
        <v>52</v>
      </c>
      <c r="L119" s="5">
        <v>11</v>
      </c>
      <c r="M119" s="5">
        <v>8</v>
      </c>
      <c r="N119" s="9">
        <v>8</v>
      </c>
      <c r="O119" s="46">
        <f t="shared" si="393"/>
        <v>0.1038961038961039</v>
      </c>
      <c r="P119" s="5">
        <v>3</v>
      </c>
      <c r="Q119" s="46">
        <f t="shared" ref="Q119" si="712">IFERROR(P119/$I119,"")</f>
        <v>3.896103896103896E-2</v>
      </c>
      <c r="R119" s="5">
        <v>43</v>
      </c>
      <c r="S119" s="46">
        <f t="shared" ref="S119" si="713">IFERROR(R119/$I119,"")</f>
        <v>0.55844155844155841</v>
      </c>
      <c r="T119" s="5">
        <v>1</v>
      </c>
      <c r="U119" s="46">
        <f t="shared" ref="U119" si="714">IFERROR(T119/$I119,"")</f>
        <v>1.2987012987012988E-2</v>
      </c>
      <c r="V119" s="5">
        <v>9</v>
      </c>
      <c r="W119" s="46">
        <f t="shared" ref="W119" si="715">IFERROR(V119/$I119,"")</f>
        <v>0.11688311688311688</v>
      </c>
      <c r="X119" s="5">
        <v>7</v>
      </c>
      <c r="Y119" s="46">
        <f t="shared" ref="Y119" si="716">IFERROR(X119/$I119,"")</f>
        <v>9.0909090909090912E-2</v>
      </c>
      <c r="Z119" s="5">
        <v>6</v>
      </c>
      <c r="AA119" s="46">
        <f t="shared" ref="AA119" si="717">IFERROR(Z119/$I119,"")</f>
        <v>7.792207792207792E-2</v>
      </c>
      <c r="AB119" s="5">
        <v>22</v>
      </c>
      <c r="AC119" s="46">
        <f t="shared" si="400"/>
        <v>0.22680412371134021</v>
      </c>
      <c r="AD119" s="5">
        <v>23</v>
      </c>
      <c r="AE119" s="5">
        <v>25891</v>
      </c>
      <c r="AF119" s="5">
        <f t="shared" si="401"/>
        <v>1176.8636363636363</v>
      </c>
      <c r="AG119" s="5">
        <v>186.44</v>
      </c>
      <c r="AH119" s="49">
        <f t="shared" si="402"/>
        <v>2.4212987012987011</v>
      </c>
      <c r="AI119" s="5">
        <v>5096</v>
      </c>
      <c r="AJ119" s="5">
        <v>0</v>
      </c>
      <c r="AK119" s="4">
        <v>31</v>
      </c>
      <c r="AL119" s="7">
        <v>28</v>
      </c>
      <c r="AM119" s="4">
        <v>1</v>
      </c>
      <c r="AN119" s="4">
        <v>2</v>
      </c>
      <c r="AO119" s="11">
        <f t="shared" si="403"/>
        <v>83.870967741935488</v>
      </c>
      <c r="AP119" s="50">
        <f t="shared" si="404"/>
        <v>0.31958762886597936</v>
      </c>
      <c r="AQ119" s="7">
        <v>97</v>
      </c>
      <c r="AR119" s="50">
        <f t="shared" si="405"/>
        <v>1</v>
      </c>
      <c r="AS119" s="4"/>
    </row>
    <row r="120" spans="1:45" ht="18" customHeight="1" x14ac:dyDescent="0.3">
      <c r="A120" s="4" t="s">
        <v>37</v>
      </c>
      <c r="B120" s="4" t="s">
        <v>121</v>
      </c>
      <c r="C120" s="4" t="s">
        <v>47</v>
      </c>
      <c r="D120" s="4" t="s">
        <v>122</v>
      </c>
      <c r="E120" s="4" t="s">
        <v>123</v>
      </c>
      <c r="F120" s="7" t="s">
        <v>48</v>
      </c>
      <c r="G120" s="4" t="s">
        <v>49</v>
      </c>
      <c r="H120" s="5">
        <v>225</v>
      </c>
      <c r="I120" s="5">
        <v>189</v>
      </c>
      <c r="J120" s="6">
        <f t="shared" si="392"/>
        <v>0.84</v>
      </c>
      <c r="K120" s="5">
        <v>180</v>
      </c>
      <c r="L120" s="5">
        <v>66</v>
      </c>
      <c r="M120" s="5">
        <v>24</v>
      </c>
      <c r="N120" s="9">
        <v>20</v>
      </c>
      <c r="O120" s="46">
        <f t="shared" si="393"/>
        <v>0.10582010582010581</v>
      </c>
      <c r="P120" s="5">
        <v>14</v>
      </c>
      <c r="Q120" s="46">
        <f t="shared" ref="Q120" si="718">IFERROR(P120/$I120,"")</f>
        <v>7.407407407407407E-2</v>
      </c>
      <c r="R120" s="5">
        <v>112</v>
      </c>
      <c r="S120" s="46">
        <f t="shared" ref="S120" si="719">IFERROR(R120/$I120,"")</f>
        <v>0.59259259259259256</v>
      </c>
      <c r="T120" s="5">
        <v>1</v>
      </c>
      <c r="U120" s="46">
        <f t="shared" ref="U120" si="720">IFERROR(T120/$I120,"")</f>
        <v>5.2910052910052907E-3</v>
      </c>
      <c r="V120" s="5">
        <v>49</v>
      </c>
      <c r="W120" s="46">
        <f t="shared" ref="W120" si="721">IFERROR(V120/$I120,"")</f>
        <v>0.25925925925925924</v>
      </c>
      <c r="X120" s="5">
        <v>60</v>
      </c>
      <c r="Y120" s="46">
        <f t="shared" ref="Y120" si="722">IFERROR(X120/$I120,"")</f>
        <v>0.31746031746031744</v>
      </c>
      <c r="Z120" s="5">
        <v>57</v>
      </c>
      <c r="AA120" s="46">
        <f t="shared" ref="AA120" si="723">IFERROR(Z120/$I120,"")</f>
        <v>0.30158730158730157</v>
      </c>
      <c r="AB120" s="5">
        <v>164</v>
      </c>
      <c r="AC120" s="46">
        <f t="shared" si="400"/>
        <v>0.72888888888888892</v>
      </c>
      <c r="AD120" s="5">
        <v>312</v>
      </c>
      <c r="AE120" s="5">
        <v>475897</v>
      </c>
      <c r="AF120" s="5">
        <f t="shared" si="401"/>
        <v>2901.810975609756</v>
      </c>
      <c r="AG120" s="5">
        <v>19329.039999999997</v>
      </c>
      <c r="AH120" s="49">
        <f t="shared" si="402"/>
        <v>102.2700529100529</v>
      </c>
      <c r="AI120" s="5">
        <v>27598</v>
      </c>
      <c r="AJ120" s="5">
        <v>53</v>
      </c>
      <c r="AK120" s="4">
        <v>54</v>
      </c>
      <c r="AL120" s="7">
        <v>52</v>
      </c>
      <c r="AM120" s="4">
        <v>2</v>
      </c>
      <c r="AN120" s="4">
        <v>0</v>
      </c>
      <c r="AO120" s="11">
        <f t="shared" si="403"/>
        <v>96.296296296296291</v>
      </c>
      <c r="AP120" s="50">
        <f t="shared" si="404"/>
        <v>0.24</v>
      </c>
      <c r="AQ120" s="7">
        <v>225</v>
      </c>
      <c r="AR120" s="50">
        <f t="shared" si="405"/>
        <v>1</v>
      </c>
      <c r="AS120" s="4"/>
    </row>
    <row r="121" spans="1:45" ht="18" customHeight="1" x14ac:dyDescent="0.3">
      <c r="A121" s="4" t="s">
        <v>37</v>
      </c>
      <c r="B121" s="4" t="s">
        <v>121</v>
      </c>
      <c r="C121" s="4" t="s">
        <v>47</v>
      </c>
      <c r="D121" s="4" t="s">
        <v>124</v>
      </c>
      <c r="E121" s="4" t="s">
        <v>125</v>
      </c>
      <c r="F121" s="7" t="s">
        <v>48</v>
      </c>
      <c r="G121" s="4" t="s">
        <v>81</v>
      </c>
      <c r="H121" s="5">
        <v>243</v>
      </c>
      <c r="I121" s="5">
        <v>215</v>
      </c>
      <c r="J121" s="6">
        <f t="shared" si="392"/>
        <v>0.8847736625514403</v>
      </c>
      <c r="K121" s="5">
        <v>200</v>
      </c>
      <c r="L121" s="5">
        <v>47</v>
      </c>
      <c r="M121" s="5">
        <v>22</v>
      </c>
      <c r="N121" s="9">
        <v>26</v>
      </c>
      <c r="O121" s="46">
        <f t="shared" si="393"/>
        <v>0.12093023255813953</v>
      </c>
      <c r="P121" s="5">
        <v>7</v>
      </c>
      <c r="Q121" s="46">
        <f t="shared" ref="Q121" si="724">IFERROR(P121/$I121,"")</f>
        <v>3.255813953488372E-2</v>
      </c>
      <c r="R121" s="5">
        <v>109</v>
      </c>
      <c r="S121" s="46">
        <f t="shared" ref="S121" si="725">IFERROR(R121/$I121,"")</f>
        <v>0.50697674418604655</v>
      </c>
      <c r="T121" s="5">
        <v>3</v>
      </c>
      <c r="U121" s="46">
        <f t="shared" ref="U121" si="726">IFERROR(T121/$I121,"")</f>
        <v>1.3953488372093023E-2</v>
      </c>
      <c r="V121" s="5">
        <v>27</v>
      </c>
      <c r="W121" s="46">
        <f t="shared" ref="W121" si="727">IFERROR(V121/$I121,"")</f>
        <v>0.12558139534883722</v>
      </c>
      <c r="X121" s="5">
        <v>41</v>
      </c>
      <c r="Y121" s="46">
        <f t="shared" ref="Y121" si="728">IFERROR(X121/$I121,"")</f>
        <v>0.19069767441860466</v>
      </c>
      <c r="Z121" s="5">
        <v>71</v>
      </c>
      <c r="AA121" s="46">
        <f t="shared" ref="AA121" si="729">IFERROR(Z121/$I121,"")</f>
        <v>0.33023255813953489</v>
      </c>
      <c r="AB121" s="5">
        <v>170</v>
      </c>
      <c r="AC121" s="46">
        <f t="shared" si="400"/>
        <v>0.69958847736625518</v>
      </c>
      <c r="AD121" s="5">
        <v>239</v>
      </c>
      <c r="AE121" s="5">
        <v>331004</v>
      </c>
      <c r="AF121" s="5">
        <f t="shared" si="401"/>
        <v>1947.0823529411764</v>
      </c>
      <c r="AG121" s="5">
        <v>4867.2300000000005</v>
      </c>
      <c r="AH121" s="49">
        <f t="shared" si="402"/>
        <v>22.638279069767442</v>
      </c>
      <c r="AI121" s="5">
        <v>538</v>
      </c>
      <c r="AJ121" s="5">
        <v>31</v>
      </c>
      <c r="AK121" s="4">
        <v>41</v>
      </c>
      <c r="AL121" s="7">
        <v>35</v>
      </c>
      <c r="AM121" s="4">
        <v>3</v>
      </c>
      <c r="AN121" s="4">
        <v>3</v>
      </c>
      <c r="AO121" s="11">
        <f t="shared" si="403"/>
        <v>78.048780487804876</v>
      </c>
      <c r="AP121" s="50">
        <f t="shared" si="404"/>
        <v>0.16872427983539096</v>
      </c>
      <c r="AQ121" s="7">
        <v>243</v>
      </c>
      <c r="AR121" s="50">
        <f t="shared" si="405"/>
        <v>1</v>
      </c>
      <c r="AS121" s="4"/>
    </row>
    <row r="122" spans="1:45" ht="18" customHeight="1" x14ac:dyDescent="0.3">
      <c r="A122" s="4" t="s">
        <v>37</v>
      </c>
      <c r="B122" s="4" t="s">
        <v>121</v>
      </c>
      <c r="C122" s="4" t="s">
        <v>47</v>
      </c>
      <c r="D122" s="4" t="s">
        <v>126</v>
      </c>
      <c r="E122" s="4" t="s">
        <v>127</v>
      </c>
      <c r="F122" s="7" t="s">
        <v>48</v>
      </c>
      <c r="G122" s="4" t="s">
        <v>61</v>
      </c>
      <c r="H122" s="5">
        <v>219</v>
      </c>
      <c r="I122" s="5">
        <v>180</v>
      </c>
      <c r="J122" s="6">
        <f t="shared" si="392"/>
        <v>0.82191780821917804</v>
      </c>
      <c r="K122" s="5">
        <v>173</v>
      </c>
      <c r="L122" s="5">
        <v>48</v>
      </c>
      <c r="M122" s="5">
        <v>30</v>
      </c>
      <c r="N122" s="9">
        <v>32</v>
      </c>
      <c r="O122" s="46">
        <f t="shared" si="393"/>
        <v>0.17777777777777778</v>
      </c>
      <c r="P122" s="5">
        <v>13</v>
      </c>
      <c r="Q122" s="46">
        <f t="shared" ref="Q122" si="730">IFERROR(P122/$I122,"")</f>
        <v>7.2222222222222215E-2</v>
      </c>
      <c r="R122" s="5">
        <v>117</v>
      </c>
      <c r="S122" s="46">
        <f t="shared" ref="S122" si="731">IFERROR(R122/$I122,"")</f>
        <v>0.65</v>
      </c>
      <c r="T122" s="5">
        <v>1</v>
      </c>
      <c r="U122" s="46">
        <f t="shared" ref="U122" si="732">IFERROR(T122/$I122,"")</f>
        <v>5.5555555555555558E-3</v>
      </c>
      <c r="V122" s="5">
        <v>43</v>
      </c>
      <c r="W122" s="46">
        <f t="shared" ref="W122" si="733">IFERROR(V122/$I122,"")</f>
        <v>0.2388888888888889</v>
      </c>
      <c r="X122" s="5">
        <v>50</v>
      </c>
      <c r="Y122" s="46">
        <f t="shared" ref="Y122" si="734">IFERROR(X122/$I122,"")</f>
        <v>0.27777777777777779</v>
      </c>
      <c r="Z122" s="5">
        <v>63</v>
      </c>
      <c r="AA122" s="46">
        <f t="shared" ref="AA122" si="735">IFERROR(Z122/$I122,"")</f>
        <v>0.35</v>
      </c>
      <c r="AB122" s="5">
        <v>159</v>
      </c>
      <c r="AC122" s="46">
        <f t="shared" si="400"/>
        <v>0.72602739726027399</v>
      </c>
      <c r="AD122" s="5">
        <v>265</v>
      </c>
      <c r="AE122" s="5">
        <v>425063</v>
      </c>
      <c r="AF122" s="5">
        <f t="shared" si="401"/>
        <v>2673.3522012578615</v>
      </c>
      <c r="AG122" s="5">
        <v>1817.29</v>
      </c>
      <c r="AH122" s="49">
        <f t="shared" si="402"/>
        <v>10.096055555555555</v>
      </c>
      <c r="AI122" s="5">
        <v>30663</v>
      </c>
      <c r="AJ122" s="5">
        <v>29</v>
      </c>
      <c r="AK122" s="4">
        <v>28</v>
      </c>
      <c r="AL122" s="7">
        <v>27</v>
      </c>
      <c r="AM122" s="4">
        <v>1</v>
      </c>
      <c r="AN122" s="4">
        <v>0</v>
      </c>
      <c r="AO122" s="11">
        <f t="shared" si="403"/>
        <v>96.428571428571431</v>
      </c>
      <c r="AP122" s="50">
        <f t="shared" si="404"/>
        <v>0.12785388127853881</v>
      </c>
      <c r="AQ122" s="7">
        <v>219</v>
      </c>
      <c r="AR122" s="50">
        <f t="shared" si="405"/>
        <v>1</v>
      </c>
      <c r="AS122" s="4"/>
    </row>
    <row r="123" spans="1:45" ht="18" customHeight="1" x14ac:dyDescent="0.3">
      <c r="A123" s="4" t="s">
        <v>37</v>
      </c>
      <c r="B123" s="4" t="s">
        <v>121</v>
      </c>
      <c r="C123" s="4" t="s">
        <v>47</v>
      </c>
      <c r="D123" s="4" t="s">
        <v>128</v>
      </c>
      <c r="E123" s="4" t="s">
        <v>129</v>
      </c>
      <c r="F123" s="7" t="s">
        <v>48</v>
      </c>
      <c r="G123" s="4" t="s">
        <v>57</v>
      </c>
      <c r="H123" s="5">
        <v>245</v>
      </c>
      <c r="I123" s="5">
        <v>186</v>
      </c>
      <c r="J123" s="6">
        <f t="shared" si="392"/>
        <v>0.75918367346938775</v>
      </c>
      <c r="K123" s="5">
        <v>168</v>
      </c>
      <c r="L123" s="5">
        <v>53</v>
      </c>
      <c r="M123" s="5">
        <v>32</v>
      </c>
      <c r="N123" s="9">
        <v>28</v>
      </c>
      <c r="O123" s="46">
        <f t="shared" si="393"/>
        <v>0.15053763440860216</v>
      </c>
      <c r="P123" s="5">
        <v>6</v>
      </c>
      <c r="Q123" s="46">
        <f t="shared" ref="Q123" si="736">IFERROR(P123/$I123,"")</f>
        <v>3.2258064516129031E-2</v>
      </c>
      <c r="R123" s="5">
        <v>111</v>
      </c>
      <c r="S123" s="46">
        <f t="shared" ref="S123" si="737">IFERROR(R123/$I123,"")</f>
        <v>0.59677419354838712</v>
      </c>
      <c r="T123" s="5">
        <v>4</v>
      </c>
      <c r="U123" s="46">
        <f t="shared" ref="U123" si="738">IFERROR(T123/$I123,"")</f>
        <v>2.1505376344086023E-2</v>
      </c>
      <c r="V123" s="5">
        <v>46</v>
      </c>
      <c r="W123" s="46">
        <f t="shared" ref="W123" si="739">IFERROR(V123/$I123,"")</f>
        <v>0.24731182795698925</v>
      </c>
      <c r="X123" s="5">
        <v>32</v>
      </c>
      <c r="Y123" s="46">
        <f t="shared" ref="Y123" si="740">IFERROR(X123/$I123,"")</f>
        <v>0.17204301075268819</v>
      </c>
      <c r="Z123" s="5">
        <v>45</v>
      </c>
      <c r="AA123" s="46">
        <f t="shared" ref="AA123" si="741">IFERROR(Z123/$I123,"")</f>
        <v>0.24193548387096775</v>
      </c>
      <c r="AB123" s="5">
        <v>161</v>
      </c>
      <c r="AC123" s="46">
        <f t="shared" si="400"/>
        <v>0.65714285714285714</v>
      </c>
      <c r="AD123" s="5">
        <v>211</v>
      </c>
      <c r="AE123" s="5">
        <v>362523</v>
      </c>
      <c r="AF123" s="5">
        <f t="shared" si="401"/>
        <v>2251.695652173913</v>
      </c>
      <c r="AG123" s="5">
        <v>6074.579999999999</v>
      </c>
      <c r="AH123" s="49">
        <f t="shared" si="402"/>
        <v>32.659032258064514</v>
      </c>
      <c r="AI123" s="5">
        <v>30545</v>
      </c>
      <c r="AJ123" s="5">
        <v>29</v>
      </c>
      <c r="AK123" s="4">
        <v>39</v>
      </c>
      <c r="AL123" s="7">
        <v>35</v>
      </c>
      <c r="AM123" s="4">
        <v>3</v>
      </c>
      <c r="AN123" s="4">
        <v>1</v>
      </c>
      <c r="AO123" s="11">
        <f t="shared" si="403"/>
        <v>87.179487179487182</v>
      </c>
      <c r="AP123" s="50">
        <f t="shared" si="404"/>
        <v>0.15918367346938775</v>
      </c>
      <c r="AQ123" s="7">
        <v>245</v>
      </c>
      <c r="AR123" s="50">
        <f t="shared" si="405"/>
        <v>1</v>
      </c>
      <c r="AS123" s="4"/>
    </row>
    <row r="124" spans="1:45" ht="18" customHeight="1" x14ac:dyDescent="0.3">
      <c r="A124" s="4" t="s">
        <v>37</v>
      </c>
      <c r="B124" s="4" t="s">
        <v>121</v>
      </c>
      <c r="C124" s="4" t="s">
        <v>47</v>
      </c>
      <c r="D124" s="4" t="s">
        <v>130</v>
      </c>
      <c r="E124" s="4" t="s">
        <v>131</v>
      </c>
      <c r="F124" s="7" t="s">
        <v>48</v>
      </c>
      <c r="G124" s="4" t="s">
        <v>88</v>
      </c>
      <c r="H124" s="5">
        <v>225</v>
      </c>
      <c r="I124" s="5">
        <v>167</v>
      </c>
      <c r="J124" s="6">
        <f t="shared" si="392"/>
        <v>0.74222222222222223</v>
      </c>
      <c r="K124" s="5">
        <v>162</v>
      </c>
      <c r="L124" s="5">
        <v>39</v>
      </c>
      <c r="M124" s="5">
        <v>27</v>
      </c>
      <c r="N124" s="9">
        <v>32</v>
      </c>
      <c r="O124" s="46">
        <f t="shared" si="393"/>
        <v>0.19161676646706588</v>
      </c>
      <c r="P124" s="5">
        <v>9</v>
      </c>
      <c r="Q124" s="46">
        <f t="shared" ref="Q124" si="742">IFERROR(P124/$I124,"")</f>
        <v>5.3892215568862277E-2</v>
      </c>
      <c r="R124" s="5">
        <v>104</v>
      </c>
      <c r="S124" s="46">
        <f t="shared" ref="S124" si="743">IFERROR(R124/$I124,"")</f>
        <v>0.6227544910179641</v>
      </c>
      <c r="T124" s="5">
        <v>0</v>
      </c>
      <c r="U124" s="46">
        <f t="shared" ref="U124" si="744">IFERROR(T124/$I124,"")</f>
        <v>0</v>
      </c>
      <c r="V124" s="5">
        <v>41</v>
      </c>
      <c r="W124" s="46">
        <f t="shared" ref="W124" si="745">IFERROR(V124/$I124,"")</f>
        <v>0.24550898203592814</v>
      </c>
      <c r="X124" s="5">
        <v>47</v>
      </c>
      <c r="Y124" s="46">
        <f t="shared" ref="Y124" si="746">IFERROR(X124/$I124,"")</f>
        <v>0.28143712574850299</v>
      </c>
      <c r="Z124" s="5">
        <v>79</v>
      </c>
      <c r="AA124" s="46">
        <f t="shared" ref="AA124" si="747">IFERROR(Z124/$I124,"")</f>
        <v>0.47305389221556887</v>
      </c>
      <c r="AB124" s="5">
        <v>162</v>
      </c>
      <c r="AC124" s="46">
        <f t="shared" si="400"/>
        <v>0.72</v>
      </c>
      <c r="AD124" s="5">
        <v>271</v>
      </c>
      <c r="AE124" s="5">
        <v>362614</v>
      </c>
      <c r="AF124" s="5">
        <f t="shared" si="401"/>
        <v>2238.358024691358</v>
      </c>
      <c r="AG124" s="5">
        <v>7947.47</v>
      </c>
      <c r="AH124" s="49">
        <f t="shared" si="402"/>
        <v>47.589640718562876</v>
      </c>
      <c r="AI124" s="5">
        <v>9447</v>
      </c>
      <c r="AJ124" s="5">
        <v>32</v>
      </c>
      <c r="AK124" s="4">
        <v>62</v>
      </c>
      <c r="AL124" s="7">
        <v>48</v>
      </c>
      <c r="AM124" s="4">
        <v>7</v>
      </c>
      <c r="AN124" s="4">
        <v>7</v>
      </c>
      <c r="AO124" s="11">
        <f t="shared" si="403"/>
        <v>66.129032258064512</v>
      </c>
      <c r="AP124" s="50">
        <f t="shared" si="404"/>
        <v>0.27555555555555555</v>
      </c>
      <c r="AQ124" s="7">
        <v>225</v>
      </c>
      <c r="AR124" s="50">
        <f t="shared" si="405"/>
        <v>1</v>
      </c>
      <c r="AS124" s="4"/>
    </row>
    <row r="125" spans="1:45" ht="18" customHeight="1" x14ac:dyDescent="0.3">
      <c r="A125" s="4" t="s">
        <v>37</v>
      </c>
      <c r="B125" s="4" t="s">
        <v>121</v>
      </c>
      <c r="C125" s="4" t="s">
        <v>47</v>
      </c>
      <c r="D125" s="4" t="s">
        <v>132</v>
      </c>
      <c r="E125" s="4" t="s">
        <v>133</v>
      </c>
      <c r="F125" s="7" t="s">
        <v>48</v>
      </c>
      <c r="G125" s="4" t="s">
        <v>81</v>
      </c>
      <c r="H125" s="5">
        <v>204</v>
      </c>
      <c r="I125" s="5">
        <v>153</v>
      </c>
      <c r="J125" s="6">
        <f t="shared" si="392"/>
        <v>0.75</v>
      </c>
      <c r="K125" s="5">
        <v>149</v>
      </c>
      <c r="L125" s="5">
        <v>40</v>
      </c>
      <c r="M125" s="5">
        <v>22</v>
      </c>
      <c r="N125" s="9">
        <v>18</v>
      </c>
      <c r="O125" s="46">
        <f t="shared" si="393"/>
        <v>0.11764705882352941</v>
      </c>
      <c r="P125" s="5">
        <v>11</v>
      </c>
      <c r="Q125" s="46">
        <f t="shared" ref="Q125" si="748">IFERROR(P125/$I125,"")</f>
        <v>7.1895424836601302E-2</v>
      </c>
      <c r="R125" s="5">
        <v>106</v>
      </c>
      <c r="S125" s="46">
        <f t="shared" ref="S125" si="749">IFERROR(R125/$I125,"")</f>
        <v>0.69281045751633985</v>
      </c>
      <c r="T125" s="5">
        <v>0</v>
      </c>
      <c r="U125" s="46">
        <f t="shared" ref="U125" si="750">IFERROR(T125/$I125,"")</f>
        <v>0</v>
      </c>
      <c r="V125" s="5">
        <v>38</v>
      </c>
      <c r="W125" s="46">
        <f t="shared" ref="W125" si="751">IFERROR(V125/$I125,"")</f>
        <v>0.24836601307189543</v>
      </c>
      <c r="X125" s="5">
        <v>39</v>
      </c>
      <c r="Y125" s="46">
        <f t="shared" ref="Y125" si="752">IFERROR(X125/$I125,"")</f>
        <v>0.25490196078431371</v>
      </c>
      <c r="Z125" s="5">
        <v>70</v>
      </c>
      <c r="AA125" s="46">
        <f t="shared" ref="AA125" si="753">IFERROR(Z125/$I125,"")</f>
        <v>0.45751633986928103</v>
      </c>
      <c r="AB125" s="5">
        <v>144</v>
      </c>
      <c r="AC125" s="46">
        <f t="shared" si="400"/>
        <v>0.70588235294117652</v>
      </c>
      <c r="AD125" s="5">
        <v>206</v>
      </c>
      <c r="AE125" s="5">
        <v>282552</v>
      </c>
      <c r="AF125" s="5">
        <f t="shared" si="401"/>
        <v>1962.1666666666667</v>
      </c>
      <c r="AG125" s="5">
        <v>2060.8000000000002</v>
      </c>
      <c r="AH125" s="49">
        <f t="shared" si="402"/>
        <v>13.469281045751636</v>
      </c>
      <c r="AI125" s="5">
        <v>12052</v>
      </c>
      <c r="AJ125" s="5">
        <v>25</v>
      </c>
      <c r="AK125" s="4">
        <v>40</v>
      </c>
      <c r="AL125" s="7">
        <v>35</v>
      </c>
      <c r="AM125" s="4">
        <v>3</v>
      </c>
      <c r="AN125" s="4">
        <v>2</v>
      </c>
      <c r="AO125" s="11">
        <f t="shared" si="403"/>
        <v>82.5</v>
      </c>
      <c r="AP125" s="50">
        <f t="shared" si="404"/>
        <v>0.19607843137254902</v>
      </c>
      <c r="AQ125" s="7">
        <v>204</v>
      </c>
      <c r="AR125" s="50">
        <f t="shared" si="405"/>
        <v>1</v>
      </c>
      <c r="AS125" s="4"/>
    </row>
    <row r="126" spans="1:45" ht="18" customHeight="1" x14ac:dyDescent="0.3">
      <c r="A126" s="4" t="s">
        <v>37</v>
      </c>
      <c r="B126" s="4" t="s">
        <v>136</v>
      </c>
      <c r="C126" s="4" t="s">
        <v>47</v>
      </c>
      <c r="D126" s="4" t="s">
        <v>137</v>
      </c>
      <c r="E126" s="4" t="s">
        <v>138</v>
      </c>
      <c r="F126" s="7" t="s">
        <v>48</v>
      </c>
      <c r="G126" s="4" t="s">
        <v>49</v>
      </c>
      <c r="H126" s="5">
        <v>134</v>
      </c>
      <c r="I126" s="5">
        <v>106</v>
      </c>
      <c r="J126" s="6">
        <f t="shared" si="392"/>
        <v>0.79104477611940294</v>
      </c>
      <c r="K126" s="5">
        <v>88</v>
      </c>
      <c r="L126" s="5">
        <v>18</v>
      </c>
      <c r="M126" s="5">
        <v>9</v>
      </c>
      <c r="N126" s="9">
        <v>9</v>
      </c>
      <c r="O126" s="46">
        <f t="shared" si="393"/>
        <v>8.4905660377358486E-2</v>
      </c>
      <c r="P126" s="5">
        <v>7</v>
      </c>
      <c r="Q126" s="46">
        <f t="shared" ref="Q126" si="754">IFERROR(P126/$I126,"")</f>
        <v>6.6037735849056603E-2</v>
      </c>
      <c r="R126" s="5">
        <v>38</v>
      </c>
      <c r="S126" s="46">
        <f t="shared" ref="S126" si="755">IFERROR(R126/$I126,"")</f>
        <v>0.35849056603773582</v>
      </c>
      <c r="T126" s="5">
        <v>1</v>
      </c>
      <c r="U126" s="46">
        <f t="shared" ref="U126" si="756">IFERROR(T126/$I126,"")</f>
        <v>9.433962264150943E-3</v>
      </c>
      <c r="V126" s="5">
        <v>15</v>
      </c>
      <c r="W126" s="46">
        <f t="shared" ref="W126" si="757">IFERROR(V126/$I126,"")</f>
        <v>0.14150943396226415</v>
      </c>
      <c r="X126" s="5">
        <v>17</v>
      </c>
      <c r="Y126" s="46">
        <f t="shared" ref="Y126" si="758">IFERROR(X126/$I126,"")</f>
        <v>0.16037735849056603</v>
      </c>
      <c r="Z126" s="5">
        <v>16</v>
      </c>
      <c r="AA126" s="46">
        <f t="shared" ref="AA126" si="759">IFERROR(Z126/$I126,"")</f>
        <v>0.15094339622641509</v>
      </c>
      <c r="AB126" s="5">
        <v>71</v>
      </c>
      <c r="AC126" s="46">
        <f t="shared" si="400"/>
        <v>0.52985074626865669</v>
      </c>
      <c r="AD126" s="5">
        <v>111</v>
      </c>
      <c r="AE126" s="5">
        <v>135413</v>
      </c>
      <c r="AF126" s="5">
        <f t="shared" si="401"/>
        <v>1907.2253521126761</v>
      </c>
      <c r="AG126" s="5">
        <v>0</v>
      </c>
      <c r="AH126" s="49">
        <f t="shared" si="402"/>
        <v>0</v>
      </c>
      <c r="AI126" s="5">
        <v>0</v>
      </c>
      <c r="AJ126" s="5">
        <v>0</v>
      </c>
      <c r="AK126" s="4">
        <v>43</v>
      </c>
      <c r="AL126" s="7">
        <v>42</v>
      </c>
      <c r="AM126" s="4">
        <v>1</v>
      </c>
      <c r="AN126" s="4">
        <v>0</v>
      </c>
      <c r="AO126" s="11">
        <f t="shared" si="403"/>
        <v>97.674418604651152</v>
      </c>
      <c r="AP126" s="50">
        <f t="shared" si="404"/>
        <v>0.32089552238805968</v>
      </c>
      <c r="AQ126" s="7">
        <v>134</v>
      </c>
      <c r="AR126" s="50">
        <f t="shared" si="405"/>
        <v>1</v>
      </c>
      <c r="AS126" s="4"/>
    </row>
    <row r="127" spans="1:45" ht="18" customHeight="1" x14ac:dyDescent="0.3">
      <c r="A127" s="4" t="s">
        <v>37</v>
      </c>
      <c r="B127" s="4" t="s">
        <v>139</v>
      </c>
      <c r="C127" s="4" t="s">
        <v>47</v>
      </c>
      <c r="D127" s="4" t="s">
        <v>140</v>
      </c>
      <c r="E127" s="4" t="s">
        <v>141</v>
      </c>
      <c r="F127" s="7" t="s">
        <v>48</v>
      </c>
      <c r="G127" s="4" t="s">
        <v>142</v>
      </c>
      <c r="H127" s="5">
        <v>194</v>
      </c>
      <c r="I127" s="5">
        <v>145</v>
      </c>
      <c r="J127" s="6">
        <f t="shared" si="392"/>
        <v>0.74742268041237114</v>
      </c>
      <c r="K127" s="5">
        <v>123</v>
      </c>
      <c r="L127" s="5">
        <v>23</v>
      </c>
      <c r="M127" s="5">
        <v>11</v>
      </c>
      <c r="N127" s="9">
        <v>8</v>
      </c>
      <c r="O127" s="46">
        <f t="shared" si="393"/>
        <v>5.5172413793103448E-2</v>
      </c>
      <c r="P127" s="5">
        <v>8</v>
      </c>
      <c r="Q127" s="46">
        <f t="shared" ref="Q127" si="760">IFERROR(P127/$I127,"")</f>
        <v>5.5172413793103448E-2</v>
      </c>
      <c r="R127" s="5">
        <v>68</v>
      </c>
      <c r="S127" s="46">
        <f t="shared" ref="S127" si="761">IFERROR(R127/$I127,"")</f>
        <v>0.4689655172413793</v>
      </c>
      <c r="T127" s="5">
        <v>1</v>
      </c>
      <c r="U127" s="46">
        <f t="shared" ref="U127" si="762">IFERROR(T127/$I127,"")</f>
        <v>6.8965517241379309E-3</v>
      </c>
      <c r="V127" s="5">
        <v>26</v>
      </c>
      <c r="W127" s="46">
        <f t="shared" ref="W127" si="763">IFERROR(V127/$I127,"")</f>
        <v>0.1793103448275862</v>
      </c>
      <c r="X127" s="5">
        <v>18</v>
      </c>
      <c r="Y127" s="46">
        <f t="shared" ref="Y127" si="764">IFERROR(X127/$I127,"")</f>
        <v>0.12413793103448276</v>
      </c>
      <c r="Z127" s="5">
        <v>6</v>
      </c>
      <c r="AA127" s="46">
        <f t="shared" ref="AA127" si="765">IFERROR(Z127/$I127,"")</f>
        <v>4.1379310344827586E-2</v>
      </c>
      <c r="AB127" s="5">
        <v>83</v>
      </c>
      <c r="AC127" s="46">
        <f t="shared" si="400"/>
        <v>0.42783505154639173</v>
      </c>
      <c r="AD127" s="5">
        <v>105</v>
      </c>
      <c r="AE127" s="5">
        <v>140345</v>
      </c>
      <c r="AF127" s="5">
        <f t="shared" si="401"/>
        <v>1690.9036144578313</v>
      </c>
      <c r="AG127" s="5">
        <v>0</v>
      </c>
      <c r="AH127" s="49">
        <f t="shared" si="402"/>
        <v>0</v>
      </c>
      <c r="AI127" s="5">
        <v>16331</v>
      </c>
      <c r="AJ127" s="5">
        <v>0</v>
      </c>
      <c r="AK127" s="4">
        <v>25</v>
      </c>
      <c r="AL127" s="7">
        <v>20</v>
      </c>
      <c r="AM127" s="4">
        <v>3</v>
      </c>
      <c r="AN127" s="4">
        <v>2</v>
      </c>
      <c r="AO127" s="11">
        <f t="shared" si="403"/>
        <v>72</v>
      </c>
      <c r="AP127" s="50">
        <f t="shared" si="404"/>
        <v>0.12886597938144329</v>
      </c>
      <c r="AQ127" s="7">
        <v>194</v>
      </c>
      <c r="AR127" s="50">
        <f t="shared" si="405"/>
        <v>1</v>
      </c>
      <c r="AS127" s="4"/>
    </row>
    <row r="128" spans="1:45" ht="18" customHeight="1" x14ac:dyDescent="0.3">
      <c r="A128" s="4" t="s">
        <v>37</v>
      </c>
      <c r="B128" s="4" t="s">
        <v>143</v>
      </c>
      <c r="C128" s="4" t="s">
        <v>47</v>
      </c>
      <c r="D128" s="4" t="s">
        <v>144</v>
      </c>
      <c r="E128" s="4" t="s">
        <v>145</v>
      </c>
      <c r="F128" s="7" t="s">
        <v>48</v>
      </c>
      <c r="G128" s="4" t="s">
        <v>57</v>
      </c>
      <c r="H128" s="5">
        <v>164</v>
      </c>
      <c r="I128" s="5">
        <v>128</v>
      </c>
      <c r="J128" s="6">
        <f t="shared" si="392"/>
        <v>0.78048780487804881</v>
      </c>
      <c r="K128" s="5">
        <v>110</v>
      </c>
      <c r="L128" s="5">
        <v>24</v>
      </c>
      <c r="M128" s="5">
        <v>16</v>
      </c>
      <c r="N128" s="9">
        <v>8</v>
      </c>
      <c r="O128" s="46">
        <f t="shared" si="393"/>
        <v>6.25E-2</v>
      </c>
      <c r="P128" s="5">
        <v>6</v>
      </c>
      <c r="Q128" s="46">
        <f t="shared" ref="Q128" si="766">IFERROR(P128/$I128,"")</f>
        <v>4.6875E-2</v>
      </c>
      <c r="R128" s="5">
        <v>41</v>
      </c>
      <c r="S128" s="46">
        <f t="shared" ref="S128" si="767">IFERROR(R128/$I128,"")</f>
        <v>0.3203125</v>
      </c>
      <c r="T128" s="5">
        <v>1</v>
      </c>
      <c r="U128" s="46">
        <f t="shared" ref="U128" si="768">IFERROR(T128/$I128,"")</f>
        <v>7.8125E-3</v>
      </c>
      <c r="V128" s="5">
        <v>16</v>
      </c>
      <c r="W128" s="46">
        <f t="shared" ref="W128" si="769">IFERROR(V128/$I128,"")</f>
        <v>0.125</v>
      </c>
      <c r="X128" s="5">
        <v>6</v>
      </c>
      <c r="Y128" s="46">
        <f t="shared" ref="Y128" si="770">IFERROR(X128/$I128,"")</f>
        <v>4.6875E-2</v>
      </c>
      <c r="Z128" s="5">
        <v>9</v>
      </c>
      <c r="AA128" s="46">
        <f t="shared" ref="AA128" si="771">IFERROR(Z128/$I128,"")</f>
        <v>7.03125E-2</v>
      </c>
      <c r="AB128" s="5">
        <v>65</v>
      </c>
      <c r="AC128" s="46">
        <f t="shared" si="400"/>
        <v>0.39634146341463417</v>
      </c>
      <c r="AD128" s="5">
        <v>71</v>
      </c>
      <c r="AE128" s="5">
        <v>78240</v>
      </c>
      <c r="AF128" s="5">
        <f t="shared" si="401"/>
        <v>1203.6923076923076</v>
      </c>
      <c r="AG128" s="5">
        <v>550</v>
      </c>
      <c r="AH128" s="49">
        <f t="shared" si="402"/>
        <v>4.296875</v>
      </c>
      <c r="AI128" s="5">
        <v>3170</v>
      </c>
      <c r="AJ128" s="5">
        <v>0</v>
      </c>
      <c r="AK128" s="4">
        <v>43</v>
      </c>
      <c r="AL128" s="7">
        <v>42</v>
      </c>
      <c r="AM128" s="4">
        <v>0</v>
      </c>
      <c r="AN128" s="4">
        <v>1</v>
      </c>
      <c r="AO128" s="11">
        <f t="shared" si="403"/>
        <v>95.348837209302332</v>
      </c>
      <c r="AP128" s="50">
        <f t="shared" si="404"/>
        <v>0.26219512195121952</v>
      </c>
      <c r="AQ128" s="7">
        <v>164</v>
      </c>
      <c r="AR128" s="50">
        <f t="shared" si="405"/>
        <v>1</v>
      </c>
      <c r="AS128" s="4"/>
    </row>
    <row r="129" spans="1:45" ht="18" customHeight="1" x14ac:dyDescent="0.3">
      <c r="A129" s="4" t="s">
        <v>38</v>
      </c>
      <c r="B129" s="4" t="s">
        <v>4</v>
      </c>
      <c r="C129" s="4" t="s">
        <v>47</v>
      </c>
      <c r="D129" s="4" t="s">
        <v>35</v>
      </c>
      <c r="E129" s="4" t="s">
        <v>2</v>
      </c>
      <c r="F129" s="7" t="s">
        <v>48</v>
      </c>
      <c r="G129" s="4" t="s">
        <v>49</v>
      </c>
      <c r="H129" s="5">
        <v>126</v>
      </c>
      <c r="I129" s="5">
        <v>103</v>
      </c>
      <c r="J129" s="6">
        <f t="shared" si="392"/>
        <v>0.81746031746031744</v>
      </c>
      <c r="K129" s="5">
        <v>60</v>
      </c>
      <c r="L129" s="5">
        <v>34</v>
      </c>
      <c r="M129" s="5">
        <v>14</v>
      </c>
      <c r="N129" s="9">
        <v>9</v>
      </c>
      <c r="O129" s="46">
        <f t="shared" si="393"/>
        <v>8.7378640776699032E-2</v>
      </c>
      <c r="P129" s="5">
        <v>3</v>
      </c>
      <c r="Q129" s="46">
        <f t="shared" ref="Q129" si="772">IFERROR(P129/$I129,"")</f>
        <v>2.9126213592233011E-2</v>
      </c>
      <c r="R129" s="5">
        <v>38</v>
      </c>
      <c r="S129" s="46">
        <f t="shared" ref="S129" si="773">IFERROR(R129/$I129,"")</f>
        <v>0.36893203883495146</v>
      </c>
      <c r="T129" s="5">
        <v>0</v>
      </c>
      <c r="U129" s="46">
        <f t="shared" ref="U129" si="774">IFERROR(T129/$I129,"")</f>
        <v>0</v>
      </c>
      <c r="V129" s="5">
        <v>25</v>
      </c>
      <c r="W129" s="46">
        <f t="shared" ref="W129" si="775">IFERROR(V129/$I129,"")</f>
        <v>0.24271844660194175</v>
      </c>
      <c r="X129" s="5">
        <v>19</v>
      </c>
      <c r="Y129" s="46">
        <f t="shared" ref="Y129" si="776">IFERROR(X129/$I129,"")</f>
        <v>0.18446601941747573</v>
      </c>
      <c r="Z129" s="5">
        <v>18</v>
      </c>
      <c r="AA129" s="46">
        <f t="shared" ref="AA129" si="777">IFERROR(Z129/$I129,"")</f>
        <v>0.17475728155339806</v>
      </c>
      <c r="AB129" s="5">
        <v>59</v>
      </c>
      <c r="AC129" s="46">
        <f t="shared" si="400"/>
        <v>0.46825396825396826</v>
      </c>
      <c r="AD129" s="5">
        <v>65</v>
      </c>
      <c r="AE129" s="5">
        <v>103485</v>
      </c>
      <c r="AF129" s="5">
        <f t="shared" si="401"/>
        <v>1753.9830508474577</v>
      </c>
      <c r="AG129" s="5">
        <v>450</v>
      </c>
      <c r="AH129" s="49">
        <f t="shared" si="402"/>
        <v>4.3689320388349513</v>
      </c>
      <c r="AI129" s="5">
        <v>0</v>
      </c>
      <c r="AJ129" s="5">
        <v>9</v>
      </c>
      <c r="AK129" s="4">
        <v>28</v>
      </c>
      <c r="AL129" s="7">
        <v>22</v>
      </c>
      <c r="AM129" s="4">
        <v>3</v>
      </c>
      <c r="AN129" s="4">
        <v>3</v>
      </c>
      <c r="AO129" s="11">
        <f t="shared" si="403"/>
        <v>67.857142857142861</v>
      </c>
      <c r="AP129" s="50">
        <f t="shared" si="404"/>
        <v>0.22222222222222221</v>
      </c>
      <c r="AQ129" s="7">
        <v>126</v>
      </c>
      <c r="AR129" s="50">
        <f t="shared" si="405"/>
        <v>1</v>
      </c>
      <c r="AS129" s="4"/>
    </row>
    <row r="130" spans="1:45" ht="18" customHeight="1" x14ac:dyDescent="0.3">
      <c r="A130" s="4" t="s">
        <v>38</v>
      </c>
      <c r="B130" s="4" t="s">
        <v>4</v>
      </c>
      <c r="C130" s="4" t="s">
        <v>47</v>
      </c>
      <c r="D130" s="4" t="s">
        <v>50</v>
      </c>
      <c r="E130" s="4" t="s">
        <v>51</v>
      </c>
      <c r="F130" s="7" t="s">
        <v>48</v>
      </c>
      <c r="G130" s="4" t="s">
        <v>49</v>
      </c>
      <c r="H130" s="5">
        <v>154</v>
      </c>
      <c r="I130" s="5">
        <v>134</v>
      </c>
      <c r="J130" s="6">
        <f t="shared" si="392"/>
        <v>0.87012987012987009</v>
      </c>
      <c r="K130" s="5">
        <v>63</v>
      </c>
      <c r="L130" s="5">
        <v>29</v>
      </c>
      <c r="M130" s="5">
        <v>18</v>
      </c>
      <c r="N130" s="9">
        <v>10</v>
      </c>
      <c r="O130" s="46">
        <f t="shared" si="393"/>
        <v>7.4626865671641784E-2</v>
      </c>
      <c r="P130" s="5">
        <v>8</v>
      </c>
      <c r="Q130" s="46">
        <f t="shared" ref="Q130" si="778">IFERROR(P130/$I130,"")</f>
        <v>5.9701492537313432E-2</v>
      </c>
      <c r="R130" s="5">
        <v>45</v>
      </c>
      <c r="S130" s="46">
        <f t="shared" ref="S130" si="779">IFERROR(R130/$I130,"")</f>
        <v>0.33582089552238809</v>
      </c>
      <c r="T130" s="5">
        <v>0</v>
      </c>
      <c r="U130" s="46">
        <f t="shared" ref="U130" si="780">IFERROR(T130/$I130,"")</f>
        <v>0</v>
      </c>
      <c r="V130" s="5">
        <v>22</v>
      </c>
      <c r="W130" s="46">
        <f t="shared" ref="W130" si="781">IFERROR(V130/$I130,"")</f>
        <v>0.16417910447761194</v>
      </c>
      <c r="X130" s="5">
        <v>26</v>
      </c>
      <c r="Y130" s="46">
        <f t="shared" ref="Y130" si="782">IFERROR(X130/$I130,"")</f>
        <v>0.19402985074626866</v>
      </c>
      <c r="Z130" s="5">
        <v>21</v>
      </c>
      <c r="AA130" s="46">
        <f t="shared" ref="AA130" si="783">IFERROR(Z130/$I130,"")</f>
        <v>0.15671641791044777</v>
      </c>
      <c r="AB130" s="5">
        <v>63</v>
      </c>
      <c r="AC130" s="46">
        <f t="shared" si="400"/>
        <v>0.40909090909090912</v>
      </c>
      <c r="AD130" s="5">
        <v>109</v>
      </c>
      <c r="AE130" s="5">
        <v>213171</v>
      </c>
      <c r="AF130" s="5">
        <f t="shared" si="401"/>
        <v>3383.6666666666665</v>
      </c>
      <c r="AG130" s="5">
        <v>211.01</v>
      </c>
      <c r="AH130" s="49">
        <f t="shared" si="402"/>
        <v>1.5747014925373133</v>
      </c>
      <c r="AI130" s="5">
        <v>0</v>
      </c>
      <c r="AJ130" s="5">
        <v>20</v>
      </c>
      <c r="AK130" s="4">
        <v>27</v>
      </c>
      <c r="AL130" s="7">
        <v>22</v>
      </c>
      <c r="AM130" s="4">
        <v>1</v>
      </c>
      <c r="AN130" s="4">
        <v>4</v>
      </c>
      <c r="AO130" s="11">
        <f t="shared" si="403"/>
        <v>66.666666666666657</v>
      </c>
      <c r="AP130" s="50">
        <f t="shared" si="404"/>
        <v>0.17532467532467533</v>
      </c>
      <c r="AQ130" s="7">
        <v>154</v>
      </c>
      <c r="AR130" s="50">
        <f t="shared" si="405"/>
        <v>1</v>
      </c>
      <c r="AS130" s="4"/>
    </row>
    <row r="131" spans="1:45" ht="18" customHeight="1" x14ac:dyDescent="0.3">
      <c r="A131" s="4" t="s">
        <v>38</v>
      </c>
      <c r="B131" s="4" t="s">
        <v>4</v>
      </c>
      <c r="C131" s="4" t="s">
        <v>47</v>
      </c>
      <c r="D131" s="4" t="s">
        <v>52</v>
      </c>
      <c r="E131" s="4" t="s">
        <v>53</v>
      </c>
      <c r="F131" s="7" t="s">
        <v>48</v>
      </c>
      <c r="G131" s="4" t="s">
        <v>54</v>
      </c>
      <c r="H131" s="5">
        <v>130</v>
      </c>
      <c r="I131" s="5">
        <v>104</v>
      </c>
      <c r="J131" s="6">
        <f t="shared" ref="J131:J194" si="784">I131/H131</f>
        <v>0.8</v>
      </c>
      <c r="K131" s="5">
        <v>73</v>
      </c>
      <c r="L131" s="5">
        <v>34</v>
      </c>
      <c r="M131" s="5">
        <v>23</v>
      </c>
      <c r="N131" s="9">
        <v>30</v>
      </c>
      <c r="O131" s="46">
        <f t="shared" ref="O131:O194" si="785">IFERROR(N131/$I131,"")</f>
        <v>0.28846153846153844</v>
      </c>
      <c r="P131" s="5">
        <v>10</v>
      </c>
      <c r="Q131" s="46">
        <f t="shared" ref="Q131" si="786">IFERROR(P131/$I131,"")</f>
        <v>9.6153846153846159E-2</v>
      </c>
      <c r="R131" s="5">
        <v>43</v>
      </c>
      <c r="S131" s="46">
        <f t="shared" ref="S131" si="787">IFERROR(R131/$I131,"")</f>
        <v>0.41346153846153844</v>
      </c>
      <c r="T131" s="5">
        <v>2</v>
      </c>
      <c r="U131" s="46">
        <f t="shared" ref="U131" si="788">IFERROR(T131/$I131,"")</f>
        <v>1.9230769230769232E-2</v>
      </c>
      <c r="V131" s="5">
        <v>15</v>
      </c>
      <c r="W131" s="46">
        <f t="shared" ref="W131" si="789">IFERROR(V131/$I131,"")</f>
        <v>0.14423076923076922</v>
      </c>
      <c r="X131" s="5">
        <v>20</v>
      </c>
      <c r="Y131" s="46">
        <f t="shared" ref="Y131" si="790">IFERROR(X131/$I131,"")</f>
        <v>0.19230769230769232</v>
      </c>
      <c r="Z131" s="5">
        <v>20</v>
      </c>
      <c r="AA131" s="46">
        <f t="shared" ref="AA131" si="791">IFERROR(Z131/$I131,"")</f>
        <v>0.19230769230769232</v>
      </c>
      <c r="AB131" s="5">
        <v>45</v>
      </c>
      <c r="AC131" s="46">
        <f t="shared" ref="AC131:AC194" si="792">IFERROR(AB131/$H131,"")</f>
        <v>0.34615384615384615</v>
      </c>
      <c r="AD131" s="5">
        <v>52</v>
      </c>
      <c r="AE131" s="5">
        <v>109703</v>
      </c>
      <c r="AF131" s="5">
        <f t="shared" ref="AF131:AF194" si="793">IFERROR(AE131/AB131,"")</f>
        <v>2437.8444444444444</v>
      </c>
      <c r="AG131" s="5">
        <v>659.38</v>
      </c>
      <c r="AH131" s="49">
        <f t="shared" ref="AH131:AH194" si="794">IFERROR(AG131/$I131,"")</f>
        <v>6.3401923076923072</v>
      </c>
      <c r="AI131" s="5">
        <v>347</v>
      </c>
      <c r="AJ131" s="5">
        <v>15</v>
      </c>
      <c r="AK131" s="4">
        <v>30</v>
      </c>
      <c r="AL131" s="7">
        <v>30</v>
      </c>
      <c r="AM131" s="4">
        <v>0</v>
      </c>
      <c r="AN131" s="4">
        <v>0</v>
      </c>
      <c r="AO131" s="11">
        <f t="shared" ref="AO131:AO194" si="795">(AL131-AN131)/AK131*100</f>
        <v>100</v>
      </c>
      <c r="AP131" s="50">
        <f t="shared" ref="AP131:AP194" si="796">IFERROR(AK131/H131,"")</f>
        <v>0.23076923076923078</v>
      </c>
      <c r="AQ131" s="7">
        <v>130</v>
      </c>
      <c r="AR131" s="50">
        <f t="shared" ref="AR131:AR194" si="797">IFERROR(AQ131/H131,"")</f>
        <v>1</v>
      </c>
      <c r="AS131" s="4"/>
    </row>
    <row r="132" spans="1:45" ht="18" customHeight="1" x14ac:dyDescent="0.3">
      <c r="A132" s="4" t="s">
        <v>38</v>
      </c>
      <c r="B132" s="4" t="s">
        <v>4</v>
      </c>
      <c r="C132" s="4" t="s">
        <v>47</v>
      </c>
      <c r="D132" s="4" t="s">
        <v>55</v>
      </c>
      <c r="E132" s="4" t="s">
        <v>56</v>
      </c>
      <c r="F132" s="7" t="s">
        <v>48</v>
      </c>
      <c r="G132" s="4" t="s">
        <v>57</v>
      </c>
      <c r="H132" s="5">
        <v>140</v>
      </c>
      <c r="I132" s="5">
        <v>119</v>
      </c>
      <c r="J132" s="6">
        <f t="shared" si="784"/>
        <v>0.85</v>
      </c>
      <c r="K132" s="5">
        <v>71</v>
      </c>
      <c r="L132" s="5">
        <v>33</v>
      </c>
      <c r="M132" s="5">
        <v>19</v>
      </c>
      <c r="N132" s="9">
        <v>36</v>
      </c>
      <c r="O132" s="46">
        <f t="shared" si="785"/>
        <v>0.30252100840336132</v>
      </c>
      <c r="P132" s="5">
        <v>7</v>
      </c>
      <c r="Q132" s="46">
        <f t="shared" ref="Q132" si="798">IFERROR(P132/$I132,"")</f>
        <v>5.8823529411764705E-2</v>
      </c>
      <c r="R132" s="5">
        <v>46</v>
      </c>
      <c r="S132" s="46">
        <f t="shared" ref="S132" si="799">IFERROR(R132/$I132,"")</f>
        <v>0.38655462184873951</v>
      </c>
      <c r="T132" s="5">
        <v>0</v>
      </c>
      <c r="U132" s="46">
        <f t="shared" ref="U132" si="800">IFERROR(T132/$I132,"")</f>
        <v>0</v>
      </c>
      <c r="V132" s="5">
        <v>21</v>
      </c>
      <c r="W132" s="46">
        <f t="shared" ref="W132" si="801">IFERROR(V132/$I132,"")</f>
        <v>0.17647058823529413</v>
      </c>
      <c r="X132" s="5">
        <v>28</v>
      </c>
      <c r="Y132" s="46">
        <f t="shared" ref="Y132" si="802">IFERROR(X132/$I132,"")</f>
        <v>0.23529411764705882</v>
      </c>
      <c r="Z132" s="5">
        <v>20</v>
      </c>
      <c r="AA132" s="46">
        <f t="shared" ref="AA132" si="803">IFERROR(Z132/$I132,"")</f>
        <v>0.16806722689075632</v>
      </c>
      <c r="AB132" s="5">
        <v>60</v>
      </c>
      <c r="AC132" s="46">
        <f t="shared" si="792"/>
        <v>0.42857142857142855</v>
      </c>
      <c r="AD132" s="5">
        <v>79</v>
      </c>
      <c r="AE132" s="5">
        <v>162986</v>
      </c>
      <c r="AF132" s="5">
        <f t="shared" si="793"/>
        <v>2716.4333333333334</v>
      </c>
      <c r="AG132" s="5">
        <v>406</v>
      </c>
      <c r="AH132" s="49">
        <f t="shared" si="794"/>
        <v>3.4117647058823528</v>
      </c>
      <c r="AI132" s="5">
        <v>694</v>
      </c>
      <c r="AJ132" s="5">
        <v>13</v>
      </c>
      <c r="AK132" s="4">
        <v>23</v>
      </c>
      <c r="AL132" s="7">
        <v>21</v>
      </c>
      <c r="AM132" s="4">
        <v>1</v>
      </c>
      <c r="AN132" s="4">
        <v>1</v>
      </c>
      <c r="AO132" s="11">
        <f t="shared" si="795"/>
        <v>86.956521739130437</v>
      </c>
      <c r="AP132" s="50">
        <f t="shared" si="796"/>
        <v>0.16428571428571428</v>
      </c>
      <c r="AQ132" s="7">
        <v>140</v>
      </c>
      <c r="AR132" s="50">
        <f t="shared" si="797"/>
        <v>1</v>
      </c>
      <c r="AS132" s="4"/>
    </row>
    <row r="133" spans="1:45" ht="18" customHeight="1" x14ac:dyDescent="0.3">
      <c r="A133" s="4" t="s">
        <v>38</v>
      </c>
      <c r="B133" s="4" t="s">
        <v>4</v>
      </c>
      <c r="C133" s="4" t="s">
        <v>47</v>
      </c>
      <c r="D133" s="4"/>
      <c r="E133" s="4" t="s">
        <v>149</v>
      </c>
      <c r="F133" s="7" t="s">
        <v>48</v>
      </c>
      <c r="G133" s="4" t="s">
        <v>61</v>
      </c>
      <c r="H133" s="5">
        <v>77</v>
      </c>
      <c r="I133" s="5">
        <v>86</v>
      </c>
      <c r="J133" s="6">
        <f t="shared" si="784"/>
        <v>1.1168831168831168</v>
      </c>
      <c r="K133" s="5">
        <v>25</v>
      </c>
      <c r="L133" s="5">
        <v>12</v>
      </c>
      <c r="M133" s="5">
        <v>6</v>
      </c>
      <c r="N133" s="9">
        <v>0</v>
      </c>
      <c r="O133" s="46">
        <f t="shared" si="785"/>
        <v>0</v>
      </c>
      <c r="P133" s="5">
        <v>2</v>
      </c>
      <c r="Q133" s="46">
        <f t="shared" ref="Q133" si="804">IFERROR(P133/$I133,"")</f>
        <v>2.3255813953488372E-2</v>
      </c>
      <c r="R133" s="5">
        <v>43</v>
      </c>
      <c r="S133" s="46">
        <f t="shared" ref="S133" si="805">IFERROR(R133/$I133,"")</f>
        <v>0.5</v>
      </c>
      <c r="T133" s="5">
        <v>0</v>
      </c>
      <c r="U133" s="46">
        <f t="shared" ref="U133" si="806">IFERROR(T133/$I133,"")</f>
        <v>0</v>
      </c>
      <c r="V133" s="5">
        <v>0</v>
      </c>
      <c r="W133" s="46">
        <f t="shared" ref="W133" si="807">IFERROR(V133/$I133,"")</f>
        <v>0</v>
      </c>
      <c r="X133" s="5">
        <v>0</v>
      </c>
      <c r="Y133" s="46">
        <f t="shared" ref="Y133" si="808">IFERROR(X133/$I133,"")</f>
        <v>0</v>
      </c>
      <c r="Z133" s="5">
        <v>0</v>
      </c>
      <c r="AA133" s="46">
        <f t="shared" ref="AA133" si="809">IFERROR(Z133/$I133,"")</f>
        <v>0</v>
      </c>
      <c r="AB133" s="5">
        <v>45</v>
      </c>
      <c r="AC133" s="46">
        <f t="shared" si="792"/>
        <v>0.58441558441558439</v>
      </c>
      <c r="AD133" s="5">
        <v>48</v>
      </c>
      <c r="AE133" s="5">
        <v>60184.850000000006</v>
      </c>
      <c r="AF133" s="5">
        <f t="shared" si="793"/>
        <v>1337.4411111111112</v>
      </c>
      <c r="AG133" s="5">
        <v>0</v>
      </c>
      <c r="AH133" s="49">
        <f t="shared" si="794"/>
        <v>0</v>
      </c>
      <c r="AI133" s="5">
        <v>0</v>
      </c>
      <c r="AJ133" s="5">
        <v>5</v>
      </c>
      <c r="AK133" s="4">
        <v>16</v>
      </c>
      <c r="AL133" s="7">
        <v>12</v>
      </c>
      <c r="AM133" s="4">
        <v>2</v>
      </c>
      <c r="AN133" s="4">
        <v>2</v>
      </c>
      <c r="AO133" s="11">
        <f t="shared" si="795"/>
        <v>62.5</v>
      </c>
      <c r="AP133" s="50">
        <f t="shared" si="796"/>
        <v>0.20779220779220781</v>
      </c>
      <c r="AQ133" s="7">
        <v>77</v>
      </c>
      <c r="AR133" s="50">
        <f t="shared" si="797"/>
        <v>1</v>
      </c>
      <c r="AS133" s="4"/>
    </row>
    <row r="134" spans="1:45" ht="18" customHeight="1" x14ac:dyDescent="0.3">
      <c r="A134" s="4" t="s">
        <v>38</v>
      </c>
      <c r="B134" s="4" t="s">
        <v>4</v>
      </c>
      <c r="C134" s="4" t="s">
        <v>47</v>
      </c>
      <c r="D134" s="4"/>
      <c r="E134" s="4" t="s">
        <v>150</v>
      </c>
      <c r="F134" s="7" t="s">
        <v>48</v>
      </c>
      <c r="G134" s="4" t="s">
        <v>61</v>
      </c>
      <c r="H134" s="5">
        <v>98</v>
      </c>
      <c r="I134" s="5">
        <v>106</v>
      </c>
      <c r="J134" s="6">
        <f t="shared" si="784"/>
        <v>1.0816326530612246</v>
      </c>
      <c r="K134" s="5">
        <v>35</v>
      </c>
      <c r="L134" s="5">
        <v>23</v>
      </c>
      <c r="M134" s="5">
        <v>11</v>
      </c>
      <c r="N134" s="9">
        <v>0</v>
      </c>
      <c r="O134" s="46">
        <f t="shared" si="785"/>
        <v>0</v>
      </c>
      <c r="P134" s="5">
        <v>1</v>
      </c>
      <c r="Q134" s="46">
        <f t="shared" ref="Q134" si="810">IFERROR(P134/$I134,"")</f>
        <v>9.433962264150943E-3</v>
      </c>
      <c r="R134" s="5">
        <v>52</v>
      </c>
      <c r="S134" s="46">
        <f t="shared" ref="S134" si="811">IFERROR(R134/$I134,"")</f>
        <v>0.49056603773584906</v>
      </c>
      <c r="T134" s="5">
        <v>0</v>
      </c>
      <c r="U134" s="46">
        <f t="shared" ref="U134" si="812">IFERROR(T134/$I134,"")</f>
        <v>0</v>
      </c>
      <c r="V134" s="5">
        <v>0</v>
      </c>
      <c r="W134" s="46">
        <f t="shared" ref="W134" si="813">IFERROR(V134/$I134,"")</f>
        <v>0</v>
      </c>
      <c r="X134" s="5">
        <v>0</v>
      </c>
      <c r="Y134" s="46">
        <f t="shared" ref="Y134" si="814">IFERROR(X134/$I134,"")</f>
        <v>0</v>
      </c>
      <c r="Z134" s="5">
        <v>2</v>
      </c>
      <c r="AA134" s="46">
        <f t="shared" ref="AA134" si="815">IFERROR(Z134/$I134,"")</f>
        <v>1.8867924528301886E-2</v>
      </c>
      <c r="AB134" s="5">
        <v>46</v>
      </c>
      <c r="AC134" s="46">
        <f t="shared" si="792"/>
        <v>0.46938775510204084</v>
      </c>
      <c r="AD134" s="5">
        <v>46</v>
      </c>
      <c r="AE134" s="5">
        <v>64254</v>
      </c>
      <c r="AF134" s="5">
        <f t="shared" si="793"/>
        <v>1396.8260869565217</v>
      </c>
      <c r="AG134" s="5">
        <v>0</v>
      </c>
      <c r="AH134" s="49">
        <f t="shared" si="794"/>
        <v>0</v>
      </c>
      <c r="AI134" s="5">
        <v>2842</v>
      </c>
      <c r="AJ134" s="5">
        <v>2</v>
      </c>
      <c r="AK134" s="4">
        <v>20</v>
      </c>
      <c r="AL134" s="7">
        <v>16</v>
      </c>
      <c r="AM134" s="4">
        <v>3</v>
      </c>
      <c r="AN134" s="4">
        <v>1</v>
      </c>
      <c r="AO134" s="11">
        <f t="shared" si="795"/>
        <v>75</v>
      </c>
      <c r="AP134" s="50">
        <f t="shared" si="796"/>
        <v>0.20408163265306123</v>
      </c>
      <c r="AQ134" s="7">
        <v>98</v>
      </c>
      <c r="AR134" s="50">
        <f t="shared" si="797"/>
        <v>1</v>
      </c>
      <c r="AS134" s="4"/>
    </row>
    <row r="135" spans="1:45" ht="18" customHeight="1" x14ac:dyDescent="0.3">
      <c r="A135" s="4" t="s">
        <v>38</v>
      </c>
      <c r="B135" s="4" t="s">
        <v>4</v>
      </c>
      <c r="C135" s="4" t="s">
        <v>47</v>
      </c>
      <c r="D135" s="4" t="s">
        <v>63</v>
      </c>
      <c r="E135" s="4" t="s">
        <v>64</v>
      </c>
      <c r="F135" s="7" t="s">
        <v>48</v>
      </c>
      <c r="G135" s="4" t="s">
        <v>65</v>
      </c>
      <c r="H135" s="5">
        <v>178</v>
      </c>
      <c r="I135" s="5">
        <v>145</v>
      </c>
      <c r="J135" s="6">
        <f t="shared" si="784"/>
        <v>0.8146067415730337</v>
      </c>
      <c r="K135" s="5">
        <v>83</v>
      </c>
      <c r="L135" s="5">
        <v>40</v>
      </c>
      <c r="M135" s="5">
        <v>25</v>
      </c>
      <c r="N135" s="9">
        <v>24</v>
      </c>
      <c r="O135" s="46">
        <f t="shared" si="785"/>
        <v>0.16551724137931034</v>
      </c>
      <c r="P135" s="5">
        <v>4</v>
      </c>
      <c r="Q135" s="46">
        <f t="shared" ref="Q135" si="816">IFERROR(P135/$I135,"")</f>
        <v>2.7586206896551724E-2</v>
      </c>
      <c r="R135" s="5">
        <v>38</v>
      </c>
      <c r="S135" s="46">
        <f t="shared" ref="S135" si="817">IFERROR(R135/$I135,"")</f>
        <v>0.2620689655172414</v>
      </c>
      <c r="T135" s="5">
        <v>0</v>
      </c>
      <c r="U135" s="46">
        <f t="shared" ref="U135" si="818">IFERROR(T135/$I135,"")</f>
        <v>0</v>
      </c>
      <c r="V135" s="5">
        <v>20</v>
      </c>
      <c r="W135" s="46">
        <f t="shared" ref="W135" si="819">IFERROR(V135/$I135,"")</f>
        <v>0.13793103448275862</v>
      </c>
      <c r="X135" s="5">
        <v>13</v>
      </c>
      <c r="Y135" s="46">
        <f t="shared" ref="Y135" si="820">IFERROR(X135/$I135,"")</f>
        <v>8.9655172413793102E-2</v>
      </c>
      <c r="Z135" s="5">
        <v>19</v>
      </c>
      <c r="AA135" s="46">
        <f t="shared" ref="AA135" si="821">IFERROR(Z135/$I135,"")</f>
        <v>0.1310344827586207</v>
      </c>
      <c r="AB135" s="5">
        <v>69</v>
      </c>
      <c r="AC135" s="46">
        <f t="shared" si="792"/>
        <v>0.38764044943820225</v>
      </c>
      <c r="AD135" s="5">
        <v>97</v>
      </c>
      <c r="AE135" s="5">
        <v>160674.95000000001</v>
      </c>
      <c r="AF135" s="5">
        <f t="shared" si="793"/>
        <v>2328.6224637681162</v>
      </c>
      <c r="AG135" s="5">
        <v>2300</v>
      </c>
      <c r="AH135" s="49">
        <f t="shared" si="794"/>
        <v>15.862068965517242</v>
      </c>
      <c r="AI135" s="5">
        <v>347</v>
      </c>
      <c r="AJ135" s="5">
        <v>18</v>
      </c>
      <c r="AK135" s="4">
        <v>36</v>
      </c>
      <c r="AL135" s="7">
        <v>32</v>
      </c>
      <c r="AM135" s="4">
        <v>3</v>
      </c>
      <c r="AN135" s="4">
        <v>1</v>
      </c>
      <c r="AO135" s="11">
        <f t="shared" si="795"/>
        <v>86.111111111111114</v>
      </c>
      <c r="AP135" s="50">
        <f t="shared" si="796"/>
        <v>0.20224719101123595</v>
      </c>
      <c r="AQ135" s="7">
        <v>178</v>
      </c>
      <c r="AR135" s="50">
        <f t="shared" si="797"/>
        <v>1</v>
      </c>
      <c r="AS135" s="4"/>
    </row>
    <row r="136" spans="1:45" ht="18" customHeight="1" x14ac:dyDescent="0.3">
      <c r="A136" s="4" t="s">
        <v>38</v>
      </c>
      <c r="B136" s="4" t="s">
        <v>4</v>
      </c>
      <c r="C136" s="4" t="s">
        <v>47</v>
      </c>
      <c r="D136" s="4" t="s">
        <v>66</v>
      </c>
      <c r="E136" s="4" t="s">
        <v>67</v>
      </c>
      <c r="F136" s="7" t="s">
        <v>48</v>
      </c>
      <c r="G136" s="4" t="s">
        <v>65</v>
      </c>
      <c r="H136" s="5">
        <v>214</v>
      </c>
      <c r="I136" s="5">
        <v>165</v>
      </c>
      <c r="J136" s="6">
        <f t="shared" si="784"/>
        <v>0.7710280373831776</v>
      </c>
      <c r="K136" s="5">
        <v>120</v>
      </c>
      <c r="L136" s="5">
        <v>62</v>
      </c>
      <c r="M136" s="5">
        <v>36</v>
      </c>
      <c r="N136" s="9">
        <v>24</v>
      </c>
      <c r="O136" s="46">
        <f t="shared" si="785"/>
        <v>0.14545454545454545</v>
      </c>
      <c r="P136" s="5">
        <v>10</v>
      </c>
      <c r="Q136" s="46">
        <f t="shared" ref="Q136" si="822">IFERROR(P136/$I136,"")</f>
        <v>6.0606060606060608E-2</v>
      </c>
      <c r="R136" s="5">
        <v>55</v>
      </c>
      <c r="S136" s="46">
        <f t="shared" ref="S136" si="823">IFERROR(R136/$I136,"")</f>
        <v>0.33333333333333331</v>
      </c>
      <c r="T136" s="5">
        <v>0</v>
      </c>
      <c r="U136" s="46">
        <f t="shared" ref="U136" si="824">IFERROR(T136/$I136,"")</f>
        <v>0</v>
      </c>
      <c r="V136" s="5">
        <v>5</v>
      </c>
      <c r="W136" s="46">
        <f t="shared" ref="W136" si="825">IFERROR(V136/$I136,"")</f>
        <v>3.0303030303030304E-2</v>
      </c>
      <c r="X136" s="5">
        <v>14</v>
      </c>
      <c r="Y136" s="46">
        <f t="shared" ref="Y136" si="826">IFERROR(X136/$I136,"")</f>
        <v>8.4848484848484854E-2</v>
      </c>
      <c r="Z136" s="5">
        <v>10</v>
      </c>
      <c r="AA136" s="46">
        <f t="shared" ref="AA136" si="827">IFERROR(Z136/$I136,"")</f>
        <v>6.0606060606060608E-2</v>
      </c>
      <c r="AB136" s="5">
        <v>40</v>
      </c>
      <c r="AC136" s="46">
        <f t="shared" si="792"/>
        <v>0.18691588785046728</v>
      </c>
      <c r="AD136" s="5">
        <v>51</v>
      </c>
      <c r="AE136" s="5">
        <v>145979</v>
      </c>
      <c r="AF136" s="5">
        <f t="shared" si="793"/>
        <v>3649.4749999999999</v>
      </c>
      <c r="AG136" s="5">
        <v>698</v>
      </c>
      <c r="AH136" s="49">
        <f t="shared" si="794"/>
        <v>4.2303030303030305</v>
      </c>
      <c r="AI136" s="5">
        <v>347</v>
      </c>
      <c r="AJ136" s="5">
        <v>25</v>
      </c>
      <c r="AK136" s="4">
        <v>17</v>
      </c>
      <c r="AL136" s="7">
        <v>14</v>
      </c>
      <c r="AM136" s="4">
        <v>1</v>
      </c>
      <c r="AN136" s="4">
        <v>2</v>
      </c>
      <c r="AO136" s="11">
        <f t="shared" si="795"/>
        <v>70.588235294117652</v>
      </c>
      <c r="AP136" s="50">
        <f t="shared" si="796"/>
        <v>7.9439252336448593E-2</v>
      </c>
      <c r="AQ136" s="7">
        <v>214</v>
      </c>
      <c r="AR136" s="50">
        <f t="shared" si="797"/>
        <v>1</v>
      </c>
      <c r="AS136" s="4"/>
    </row>
    <row r="137" spans="1:45" ht="18" customHeight="1" x14ac:dyDescent="0.3">
      <c r="A137" s="4" t="s">
        <v>38</v>
      </c>
      <c r="B137" s="4" t="s">
        <v>4</v>
      </c>
      <c r="C137" s="4" t="s">
        <v>47</v>
      </c>
      <c r="D137" s="4" t="s">
        <v>68</v>
      </c>
      <c r="E137" s="4" t="s">
        <v>69</v>
      </c>
      <c r="F137" s="7" t="s">
        <v>48</v>
      </c>
      <c r="G137" s="4" t="s">
        <v>57</v>
      </c>
      <c r="H137" s="5">
        <v>149</v>
      </c>
      <c r="I137" s="5">
        <v>127</v>
      </c>
      <c r="J137" s="6">
        <f t="shared" si="784"/>
        <v>0.8523489932885906</v>
      </c>
      <c r="K137" s="5">
        <v>72</v>
      </c>
      <c r="L137" s="5">
        <v>37</v>
      </c>
      <c r="M137" s="5">
        <v>23</v>
      </c>
      <c r="N137" s="9">
        <v>41</v>
      </c>
      <c r="O137" s="46">
        <f t="shared" si="785"/>
        <v>0.32283464566929132</v>
      </c>
      <c r="P137" s="5">
        <v>10</v>
      </c>
      <c r="Q137" s="46">
        <f t="shared" ref="Q137" si="828">IFERROR(P137/$I137,"")</f>
        <v>7.874015748031496E-2</v>
      </c>
      <c r="R137" s="5">
        <v>55</v>
      </c>
      <c r="S137" s="46">
        <f t="shared" ref="S137" si="829">IFERROR(R137/$I137,"")</f>
        <v>0.43307086614173229</v>
      </c>
      <c r="T137" s="5">
        <v>0</v>
      </c>
      <c r="U137" s="46">
        <f t="shared" ref="U137" si="830">IFERROR(T137/$I137,"")</f>
        <v>0</v>
      </c>
      <c r="V137" s="5">
        <v>21</v>
      </c>
      <c r="W137" s="46">
        <f t="shared" ref="W137" si="831">IFERROR(V137/$I137,"")</f>
        <v>0.16535433070866143</v>
      </c>
      <c r="X137" s="5">
        <v>30</v>
      </c>
      <c r="Y137" s="46">
        <f t="shared" ref="Y137" si="832">IFERROR(X137/$I137,"")</f>
        <v>0.23622047244094488</v>
      </c>
      <c r="Z137" s="5">
        <v>12</v>
      </c>
      <c r="AA137" s="46">
        <f t="shared" ref="AA137" si="833">IFERROR(Z137/$I137,"")</f>
        <v>9.4488188976377951E-2</v>
      </c>
      <c r="AB137" s="5">
        <v>82</v>
      </c>
      <c r="AC137" s="46">
        <f t="shared" si="792"/>
        <v>0.55033557046979864</v>
      </c>
      <c r="AD137" s="5">
        <v>93</v>
      </c>
      <c r="AE137" s="5">
        <v>174925</v>
      </c>
      <c r="AF137" s="5">
        <f t="shared" si="793"/>
        <v>2133.231707317073</v>
      </c>
      <c r="AG137" s="5">
        <v>409</v>
      </c>
      <c r="AH137" s="49">
        <f t="shared" si="794"/>
        <v>3.2204724409448819</v>
      </c>
      <c r="AI137" s="5">
        <v>347</v>
      </c>
      <c r="AJ137" s="5">
        <v>20</v>
      </c>
      <c r="AK137" s="4">
        <v>19</v>
      </c>
      <c r="AL137" s="7">
        <v>19</v>
      </c>
      <c r="AM137" s="4">
        <v>0</v>
      </c>
      <c r="AN137" s="4">
        <v>0</v>
      </c>
      <c r="AO137" s="11">
        <f t="shared" si="795"/>
        <v>100</v>
      </c>
      <c r="AP137" s="50">
        <f t="shared" si="796"/>
        <v>0.12751677852348994</v>
      </c>
      <c r="AQ137" s="7">
        <v>149</v>
      </c>
      <c r="AR137" s="50">
        <f t="shared" si="797"/>
        <v>1</v>
      </c>
      <c r="AS137" s="4"/>
    </row>
    <row r="138" spans="1:45" ht="18" customHeight="1" x14ac:dyDescent="0.3">
      <c r="A138" s="4" t="s">
        <v>38</v>
      </c>
      <c r="B138" s="4" t="s">
        <v>4</v>
      </c>
      <c r="C138" s="4" t="s">
        <v>47</v>
      </c>
      <c r="D138" s="4"/>
      <c r="E138" s="4" t="s">
        <v>75</v>
      </c>
      <c r="F138" s="7" t="s">
        <v>48</v>
      </c>
      <c r="G138" s="4" t="s">
        <v>61</v>
      </c>
      <c r="H138" s="5">
        <v>120</v>
      </c>
      <c r="I138" s="5">
        <v>106</v>
      </c>
      <c r="J138" s="6">
        <f t="shared" si="784"/>
        <v>0.8833333333333333</v>
      </c>
      <c r="K138" s="5">
        <v>57</v>
      </c>
      <c r="L138" s="5">
        <v>27</v>
      </c>
      <c r="M138" s="5">
        <v>15</v>
      </c>
      <c r="N138" s="9">
        <v>14</v>
      </c>
      <c r="O138" s="46">
        <f t="shared" si="785"/>
        <v>0.13207547169811321</v>
      </c>
      <c r="P138" s="5">
        <v>2</v>
      </c>
      <c r="Q138" s="46">
        <f t="shared" ref="Q138" si="834">IFERROR(P138/$I138,"")</f>
        <v>1.8867924528301886E-2</v>
      </c>
      <c r="R138" s="5">
        <v>61</v>
      </c>
      <c r="S138" s="46">
        <f t="shared" ref="S138" si="835">IFERROR(R138/$I138,"")</f>
        <v>0.57547169811320753</v>
      </c>
      <c r="T138" s="5">
        <v>0</v>
      </c>
      <c r="U138" s="46">
        <f t="shared" ref="U138" si="836">IFERROR(T138/$I138,"")</f>
        <v>0</v>
      </c>
      <c r="V138" s="5">
        <v>17</v>
      </c>
      <c r="W138" s="46">
        <f t="shared" ref="W138" si="837">IFERROR(V138/$I138,"")</f>
        <v>0.16037735849056603</v>
      </c>
      <c r="X138" s="5">
        <v>19</v>
      </c>
      <c r="Y138" s="46">
        <f t="shared" ref="Y138" si="838">IFERROR(X138/$I138,"")</f>
        <v>0.17924528301886791</v>
      </c>
      <c r="Z138" s="5">
        <v>47</v>
      </c>
      <c r="AA138" s="46">
        <f t="shared" ref="AA138" si="839">IFERROR(Z138/$I138,"")</f>
        <v>0.44339622641509435</v>
      </c>
      <c r="AB138" s="5">
        <v>65</v>
      </c>
      <c r="AC138" s="46">
        <f t="shared" si="792"/>
        <v>0.54166666666666663</v>
      </c>
      <c r="AD138" s="5">
        <v>70</v>
      </c>
      <c r="AE138" s="5">
        <v>97613</v>
      </c>
      <c r="AF138" s="5">
        <f t="shared" si="793"/>
        <v>1501.7384615384615</v>
      </c>
      <c r="AG138" s="5">
        <v>0</v>
      </c>
      <c r="AH138" s="49">
        <f t="shared" si="794"/>
        <v>0</v>
      </c>
      <c r="AI138" s="5">
        <v>0</v>
      </c>
      <c r="AJ138" s="5">
        <v>10</v>
      </c>
      <c r="AK138" s="4">
        <v>24</v>
      </c>
      <c r="AL138" s="7">
        <v>20</v>
      </c>
      <c r="AM138" s="4">
        <v>2</v>
      </c>
      <c r="AN138" s="4">
        <v>2</v>
      </c>
      <c r="AO138" s="11">
        <f t="shared" si="795"/>
        <v>75</v>
      </c>
      <c r="AP138" s="50">
        <f t="shared" si="796"/>
        <v>0.2</v>
      </c>
      <c r="AQ138" s="7">
        <v>120</v>
      </c>
      <c r="AR138" s="50">
        <f t="shared" si="797"/>
        <v>1</v>
      </c>
      <c r="AS138" s="4"/>
    </row>
    <row r="139" spans="1:45" ht="18" customHeight="1" x14ac:dyDescent="0.3">
      <c r="A139" s="4" t="s">
        <v>38</v>
      </c>
      <c r="B139" s="4" t="s">
        <v>4</v>
      </c>
      <c r="C139" s="4" t="s">
        <v>47</v>
      </c>
      <c r="D139" s="4"/>
      <c r="E139" s="4" t="s">
        <v>153</v>
      </c>
      <c r="F139" s="7" t="s">
        <v>48</v>
      </c>
      <c r="G139" s="4" t="s">
        <v>61</v>
      </c>
      <c r="H139" s="5">
        <v>72</v>
      </c>
      <c r="I139" s="5">
        <v>90</v>
      </c>
      <c r="J139" s="6">
        <f t="shared" si="784"/>
        <v>1.25</v>
      </c>
      <c r="K139" s="5">
        <v>30</v>
      </c>
      <c r="L139" s="5">
        <v>13</v>
      </c>
      <c r="M139" s="5">
        <v>6</v>
      </c>
      <c r="N139" s="9">
        <v>0</v>
      </c>
      <c r="O139" s="46">
        <f t="shared" si="785"/>
        <v>0</v>
      </c>
      <c r="P139" s="5">
        <v>0</v>
      </c>
      <c r="Q139" s="46">
        <f t="shared" ref="Q139" si="840">IFERROR(P139/$I139,"")</f>
        <v>0</v>
      </c>
      <c r="R139" s="5">
        <v>40</v>
      </c>
      <c r="S139" s="46">
        <f t="shared" ref="S139" si="841">IFERROR(R139/$I139,"")</f>
        <v>0.44444444444444442</v>
      </c>
      <c r="T139" s="5">
        <v>0</v>
      </c>
      <c r="U139" s="46">
        <f t="shared" ref="U139" si="842">IFERROR(T139/$I139,"")</f>
        <v>0</v>
      </c>
      <c r="V139" s="5">
        <v>0</v>
      </c>
      <c r="W139" s="46">
        <f t="shared" ref="W139" si="843">IFERROR(V139/$I139,"")</f>
        <v>0</v>
      </c>
      <c r="X139" s="5">
        <v>0</v>
      </c>
      <c r="Y139" s="46">
        <f t="shared" ref="Y139" si="844">IFERROR(X139/$I139,"")</f>
        <v>0</v>
      </c>
      <c r="Z139" s="5">
        <v>0</v>
      </c>
      <c r="AA139" s="46">
        <f t="shared" ref="AA139" si="845">IFERROR(Z139/$I139,"")</f>
        <v>0</v>
      </c>
      <c r="AB139" s="5">
        <v>35</v>
      </c>
      <c r="AC139" s="46">
        <f t="shared" si="792"/>
        <v>0.4861111111111111</v>
      </c>
      <c r="AD139" s="5">
        <v>40</v>
      </c>
      <c r="AE139" s="5">
        <v>52566</v>
      </c>
      <c r="AF139" s="5">
        <f t="shared" si="793"/>
        <v>1501.8857142857144</v>
      </c>
      <c r="AG139" s="5">
        <v>0</v>
      </c>
      <c r="AH139" s="49">
        <f t="shared" si="794"/>
        <v>0</v>
      </c>
      <c r="AI139" s="5">
        <v>0</v>
      </c>
      <c r="AJ139" s="5">
        <v>4</v>
      </c>
      <c r="AK139" s="4">
        <v>12</v>
      </c>
      <c r="AL139" s="7">
        <v>12</v>
      </c>
      <c r="AM139" s="4">
        <v>0</v>
      </c>
      <c r="AN139" s="4">
        <v>0</v>
      </c>
      <c r="AO139" s="11">
        <f t="shared" si="795"/>
        <v>100</v>
      </c>
      <c r="AP139" s="50">
        <f t="shared" si="796"/>
        <v>0.16666666666666666</v>
      </c>
      <c r="AQ139" s="7">
        <v>72</v>
      </c>
      <c r="AR139" s="50">
        <f t="shared" si="797"/>
        <v>1</v>
      </c>
      <c r="AS139" s="4"/>
    </row>
    <row r="140" spans="1:45" ht="18" customHeight="1" x14ac:dyDescent="0.3">
      <c r="A140" s="4" t="s">
        <v>38</v>
      </c>
      <c r="B140" s="4" t="s">
        <v>4</v>
      </c>
      <c r="C140" s="4" t="s">
        <v>47</v>
      </c>
      <c r="D140" s="4"/>
      <c r="E140" s="4" t="s">
        <v>60</v>
      </c>
      <c r="F140" s="7" t="s">
        <v>48</v>
      </c>
      <c r="G140" s="4" t="s">
        <v>61</v>
      </c>
      <c r="H140" s="5">
        <v>93</v>
      </c>
      <c r="I140" s="5">
        <v>88</v>
      </c>
      <c r="J140" s="6">
        <f t="shared" si="784"/>
        <v>0.94623655913978499</v>
      </c>
      <c r="K140" s="5">
        <v>44</v>
      </c>
      <c r="L140" s="5">
        <v>23</v>
      </c>
      <c r="M140" s="5">
        <v>12</v>
      </c>
      <c r="N140" s="9">
        <v>12</v>
      </c>
      <c r="O140" s="46">
        <f t="shared" si="785"/>
        <v>0.13636363636363635</v>
      </c>
      <c r="P140" s="5">
        <v>1</v>
      </c>
      <c r="Q140" s="46">
        <f t="shared" ref="Q140" si="846">IFERROR(P140/$I140,"")</f>
        <v>1.1363636363636364E-2</v>
      </c>
      <c r="R140" s="5">
        <v>41</v>
      </c>
      <c r="S140" s="46">
        <f t="shared" ref="S140" si="847">IFERROR(R140/$I140,"")</f>
        <v>0.46590909090909088</v>
      </c>
      <c r="T140" s="5">
        <v>0</v>
      </c>
      <c r="U140" s="46">
        <f t="shared" ref="U140" si="848">IFERROR(T140/$I140,"")</f>
        <v>0</v>
      </c>
      <c r="V140" s="5">
        <v>11</v>
      </c>
      <c r="W140" s="46">
        <f t="shared" ref="W140" si="849">IFERROR(V140/$I140,"")</f>
        <v>0.125</v>
      </c>
      <c r="X140" s="5">
        <v>12</v>
      </c>
      <c r="Y140" s="46">
        <f t="shared" ref="Y140" si="850">IFERROR(X140/$I140,"")</f>
        <v>0.13636363636363635</v>
      </c>
      <c r="Z140" s="5">
        <v>17</v>
      </c>
      <c r="AA140" s="46">
        <f t="shared" ref="AA140" si="851">IFERROR(Z140/$I140,"")</f>
        <v>0.19318181818181818</v>
      </c>
      <c r="AB140" s="5">
        <v>46</v>
      </c>
      <c r="AC140" s="46">
        <f t="shared" si="792"/>
        <v>0.4946236559139785</v>
      </c>
      <c r="AD140" s="5">
        <v>50</v>
      </c>
      <c r="AE140" s="5">
        <v>98000</v>
      </c>
      <c r="AF140" s="5">
        <f t="shared" si="793"/>
        <v>2130.4347826086955</v>
      </c>
      <c r="AG140" s="5">
        <v>0</v>
      </c>
      <c r="AH140" s="49">
        <f t="shared" si="794"/>
        <v>0</v>
      </c>
      <c r="AI140" s="5">
        <v>0</v>
      </c>
      <c r="AJ140" s="5">
        <v>10</v>
      </c>
      <c r="AK140" s="4">
        <v>6</v>
      </c>
      <c r="AL140" s="7">
        <v>3</v>
      </c>
      <c r="AM140" s="4">
        <v>2</v>
      </c>
      <c r="AN140" s="4">
        <v>1</v>
      </c>
      <c r="AO140" s="11">
        <f t="shared" si="795"/>
        <v>33.333333333333329</v>
      </c>
      <c r="AP140" s="50">
        <f t="shared" si="796"/>
        <v>6.4516129032258063E-2</v>
      </c>
      <c r="AQ140" s="7">
        <v>93</v>
      </c>
      <c r="AR140" s="50">
        <f t="shared" si="797"/>
        <v>1</v>
      </c>
      <c r="AS140" s="4"/>
    </row>
    <row r="141" spans="1:45" ht="18" customHeight="1" x14ac:dyDescent="0.3">
      <c r="A141" s="4" t="s">
        <v>38</v>
      </c>
      <c r="B141" s="4" t="s">
        <v>4</v>
      </c>
      <c r="C141" s="4" t="s">
        <v>47</v>
      </c>
      <c r="D141" s="4" t="s">
        <v>70</v>
      </c>
      <c r="E141" s="4" t="s">
        <v>71</v>
      </c>
      <c r="F141" s="7" t="s">
        <v>48</v>
      </c>
      <c r="G141" s="4" t="s">
        <v>72</v>
      </c>
      <c r="H141" s="5">
        <v>169</v>
      </c>
      <c r="I141" s="5">
        <v>162</v>
      </c>
      <c r="J141" s="6">
        <f t="shared" si="784"/>
        <v>0.95857988165680474</v>
      </c>
      <c r="K141" s="5">
        <v>91</v>
      </c>
      <c r="L141" s="5">
        <v>43</v>
      </c>
      <c r="M141" s="5">
        <v>25</v>
      </c>
      <c r="N141" s="9">
        <v>5</v>
      </c>
      <c r="O141" s="46">
        <f t="shared" si="785"/>
        <v>3.0864197530864196E-2</v>
      </c>
      <c r="P141" s="5">
        <v>7</v>
      </c>
      <c r="Q141" s="46">
        <f t="shared" ref="Q141" si="852">IFERROR(P141/$I141,"")</f>
        <v>4.3209876543209874E-2</v>
      </c>
      <c r="R141" s="5">
        <v>65</v>
      </c>
      <c r="S141" s="46">
        <f t="shared" ref="S141" si="853">IFERROR(R141/$I141,"")</f>
        <v>0.40123456790123457</v>
      </c>
      <c r="T141" s="5">
        <v>1</v>
      </c>
      <c r="U141" s="46">
        <f t="shared" ref="U141" si="854">IFERROR(T141/$I141,"")</f>
        <v>6.1728395061728392E-3</v>
      </c>
      <c r="V141" s="5">
        <v>28</v>
      </c>
      <c r="W141" s="46">
        <f t="shared" ref="W141" si="855">IFERROR(V141/$I141,"")</f>
        <v>0.1728395061728395</v>
      </c>
      <c r="X141" s="5">
        <v>33</v>
      </c>
      <c r="Y141" s="46">
        <f t="shared" ref="Y141" si="856">IFERROR(X141/$I141,"")</f>
        <v>0.20370370370370369</v>
      </c>
      <c r="Z141" s="5">
        <v>20</v>
      </c>
      <c r="AA141" s="46">
        <f t="shared" ref="AA141" si="857">IFERROR(Z141/$I141,"")</f>
        <v>0.12345679012345678</v>
      </c>
      <c r="AB141" s="5">
        <v>96</v>
      </c>
      <c r="AC141" s="46">
        <f t="shared" si="792"/>
        <v>0.56804733727810652</v>
      </c>
      <c r="AD141" s="5">
        <v>112</v>
      </c>
      <c r="AE141" s="5">
        <v>210772</v>
      </c>
      <c r="AF141" s="5">
        <f t="shared" si="793"/>
        <v>2195.5416666666665</v>
      </c>
      <c r="AG141" s="5">
        <v>450</v>
      </c>
      <c r="AH141" s="49">
        <f t="shared" si="794"/>
        <v>2.7777777777777777</v>
      </c>
      <c r="AI141" s="5">
        <v>0</v>
      </c>
      <c r="AJ141" s="5">
        <v>18</v>
      </c>
      <c r="AK141" s="4">
        <v>28</v>
      </c>
      <c r="AL141" s="7">
        <v>22</v>
      </c>
      <c r="AM141" s="4">
        <v>4</v>
      </c>
      <c r="AN141" s="4">
        <v>2</v>
      </c>
      <c r="AO141" s="11">
        <f t="shared" si="795"/>
        <v>71.428571428571431</v>
      </c>
      <c r="AP141" s="50">
        <f t="shared" si="796"/>
        <v>0.16568047337278108</v>
      </c>
      <c r="AQ141" s="7">
        <v>169</v>
      </c>
      <c r="AR141" s="50">
        <f t="shared" si="797"/>
        <v>1</v>
      </c>
      <c r="AS141" s="4"/>
    </row>
    <row r="142" spans="1:45" ht="18" customHeight="1" x14ac:dyDescent="0.3">
      <c r="A142" s="4" t="s">
        <v>38</v>
      </c>
      <c r="B142" s="4" t="s">
        <v>4</v>
      </c>
      <c r="C142" s="4" t="s">
        <v>47</v>
      </c>
      <c r="D142" s="4"/>
      <c r="E142" s="4" t="s">
        <v>62</v>
      </c>
      <c r="F142" s="7" t="s">
        <v>48</v>
      </c>
      <c r="G142" s="4" t="s">
        <v>61</v>
      </c>
      <c r="H142" s="5">
        <v>160</v>
      </c>
      <c r="I142" s="5">
        <v>143</v>
      </c>
      <c r="J142" s="6">
        <f t="shared" si="784"/>
        <v>0.89375000000000004</v>
      </c>
      <c r="K142" s="5">
        <v>90</v>
      </c>
      <c r="L142" s="5">
        <v>54</v>
      </c>
      <c r="M142" s="5">
        <v>32</v>
      </c>
      <c r="N142" s="9">
        <v>27</v>
      </c>
      <c r="O142" s="46">
        <f t="shared" si="785"/>
        <v>0.1888111888111888</v>
      </c>
      <c r="P142" s="5">
        <v>3</v>
      </c>
      <c r="Q142" s="46">
        <f t="shared" ref="Q142" si="858">IFERROR(P142/$I142,"")</f>
        <v>2.097902097902098E-2</v>
      </c>
      <c r="R142" s="5">
        <v>47</v>
      </c>
      <c r="S142" s="46">
        <f t="shared" ref="S142" si="859">IFERROR(R142/$I142,"")</f>
        <v>0.32867132867132864</v>
      </c>
      <c r="T142" s="5">
        <v>0</v>
      </c>
      <c r="U142" s="46">
        <f t="shared" ref="U142" si="860">IFERROR(T142/$I142,"")</f>
        <v>0</v>
      </c>
      <c r="V142" s="5">
        <v>26</v>
      </c>
      <c r="W142" s="46">
        <f t="shared" ref="W142" si="861">IFERROR(V142/$I142,"")</f>
        <v>0.18181818181818182</v>
      </c>
      <c r="X142" s="5">
        <v>29</v>
      </c>
      <c r="Y142" s="46">
        <f t="shared" ref="Y142" si="862">IFERROR(X142/$I142,"")</f>
        <v>0.20279720279720279</v>
      </c>
      <c r="Z142" s="5">
        <v>24</v>
      </c>
      <c r="AA142" s="46">
        <f t="shared" ref="AA142" si="863">IFERROR(Z142/$I142,"")</f>
        <v>0.16783216783216784</v>
      </c>
      <c r="AB142" s="5">
        <v>88</v>
      </c>
      <c r="AC142" s="46">
        <f t="shared" si="792"/>
        <v>0.55000000000000004</v>
      </c>
      <c r="AD142" s="5">
        <v>106</v>
      </c>
      <c r="AE142" s="5">
        <v>219819</v>
      </c>
      <c r="AF142" s="5">
        <f t="shared" si="793"/>
        <v>2497.943181818182</v>
      </c>
      <c r="AG142" s="5">
        <v>0</v>
      </c>
      <c r="AH142" s="49">
        <f t="shared" si="794"/>
        <v>0</v>
      </c>
      <c r="AI142" s="5">
        <v>0</v>
      </c>
      <c r="AJ142" s="5">
        <v>18</v>
      </c>
      <c r="AK142" s="4">
        <v>29</v>
      </c>
      <c r="AL142" s="7">
        <v>23</v>
      </c>
      <c r="AM142" s="4">
        <v>3</v>
      </c>
      <c r="AN142" s="4">
        <v>3</v>
      </c>
      <c r="AO142" s="11">
        <f t="shared" si="795"/>
        <v>68.965517241379317</v>
      </c>
      <c r="AP142" s="50">
        <f t="shared" si="796"/>
        <v>0.18124999999999999</v>
      </c>
      <c r="AQ142" s="7">
        <v>160</v>
      </c>
      <c r="AR142" s="50">
        <f t="shared" si="797"/>
        <v>1</v>
      </c>
      <c r="AS142" s="4"/>
    </row>
    <row r="143" spans="1:45" ht="18" customHeight="1" x14ac:dyDescent="0.3">
      <c r="A143" s="4" t="s">
        <v>38</v>
      </c>
      <c r="B143" s="4" t="s">
        <v>4</v>
      </c>
      <c r="C143" s="4" t="s">
        <v>47</v>
      </c>
      <c r="D143" s="4" t="s">
        <v>58</v>
      </c>
      <c r="E143" s="4" t="s">
        <v>59</v>
      </c>
      <c r="F143" s="7" t="s">
        <v>48</v>
      </c>
      <c r="G143" s="4" t="s">
        <v>57</v>
      </c>
      <c r="H143" s="5">
        <v>168</v>
      </c>
      <c r="I143" s="5">
        <v>135</v>
      </c>
      <c r="J143" s="6">
        <f t="shared" si="784"/>
        <v>0.8035714285714286</v>
      </c>
      <c r="K143" s="5">
        <v>94</v>
      </c>
      <c r="L143" s="5">
        <v>56</v>
      </c>
      <c r="M143" s="5">
        <v>35</v>
      </c>
      <c r="N143" s="9">
        <v>17</v>
      </c>
      <c r="O143" s="46">
        <f t="shared" si="785"/>
        <v>0.12592592592592591</v>
      </c>
      <c r="P143" s="5">
        <v>7</v>
      </c>
      <c r="Q143" s="46">
        <f t="shared" ref="Q143" si="864">IFERROR(P143/$I143,"")</f>
        <v>5.185185185185185E-2</v>
      </c>
      <c r="R143" s="5">
        <v>48</v>
      </c>
      <c r="S143" s="46">
        <f t="shared" ref="S143" si="865">IFERROR(R143/$I143,"")</f>
        <v>0.35555555555555557</v>
      </c>
      <c r="T143" s="5">
        <v>0</v>
      </c>
      <c r="U143" s="46">
        <f t="shared" ref="U143" si="866">IFERROR(T143/$I143,"")</f>
        <v>0</v>
      </c>
      <c r="V143" s="5">
        <v>30</v>
      </c>
      <c r="W143" s="46">
        <f t="shared" ref="W143" si="867">IFERROR(V143/$I143,"")</f>
        <v>0.22222222222222221</v>
      </c>
      <c r="X143" s="5">
        <v>22</v>
      </c>
      <c r="Y143" s="46">
        <f t="shared" ref="Y143" si="868">IFERROR(X143/$I143,"")</f>
        <v>0.16296296296296298</v>
      </c>
      <c r="Z143" s="5">
        <v>15</v>
      </c>
      <c r="AA143" s="46">
        <f t="shared" ref="AA143" si="869">IFERROR(Z143/$I143,"")</f>
        <v>0.1111111111111111</v>
      </c>
      <c r="AB143" s="5">
        <v>84</v>
      </c>
      <c r="AC143" s="46">
        <f t="shared" si="792"/>
        <v>0.5</v>
      </c>
      <c r="AD143" s="5">
        <v>95</v>
      </c>
      <c r="AE143" s="5">
        <v>173277</v>
      </c>
      <c r="AF143" s="5">
        <f t="shared" si="793"/>
        <v>2062.8214285714284</v>
      </c>
      <c r="AG143" s="5">
        <v>0</v>
      </c>
      <c r="AH143" s="49">
        <f t="shared" si="794"/>
        <v>0</v>
      </c>
      <c r="AI143" s="5">
        <v>0</v>
      </c>
      <c r="AJ143" s="5">
        <v>22</v>
      </c>
      <c r="AK143" s="4">
        <v>20</v>
      </c>
      <c r="AL143" s="7">
        <v>20</v>
      </c>
      <c r="AM143" s="4">
        <v>0</v>
      </c>
      <c r="AN143" s="4">
        <v>0</v>
      </c>
      <c r="AO143" s="11">
        <f t="shared" si="795"/>
        <v>100</v>
      </c>
      <c r="AP143" s="50">
        <f t="shared" si="796"/>
        <v>0.11904761904761904</v>
      </c>
      <c r="AQ143" s="7">
        <v>168</v>
      </c>
      <c r="AR143" s="50">
        <f t="shared" si="797"/>
        <v>1</v>
      </c>
      <c r="AS143" s="4"/>
    </row>
    <row r="144" spans="1:45" ht="18" customHeight="1" x14ac:dyDescent="0.3">
      <c r="A144" s="4" t="s">
        <v>38</v>
      </c>
      <c r="B144" s="4" t="s">
        <v>4</v>
      </c>
      <c r="C144" s="4" t="s">
        <v>47</v>
      </c>
      <c r="D144" s="4"/>
      <c r="E144" s="4" t="s">
        <v>151</v>
      </c>
      <c r="F144" s="7" t="s">
        <v>48</v>
      </c>
      <c r="G144" s="4" t="s">
        <v>57</v>
      </c>
      <c r="H144" s="5">
        <v>56</v>
      </c>
      <c r="I144" s="5">
        <v>61</v>
      </c>
      <c r="J144" s="6">
        <f t="shared" si="784"/>
        <v>1.0892857142857142</v>
      </c>
      <c r="K144" s="5">
        <v>20</v>
      </c>
      <c r="L144" s="5">
        <v>8</v>
      </c>
      <c r="M144" s="5">
        <v>7</v>
      </c>
      <c r="N144" s="9">
        <v>8</v>
      </c>
      <c r="O144" s="46">
        <f t="shared" si="785"/>
        <v>0.13114754098360656</v>
      </c>
      <c r="P144" s="5">
        <v>1</v>
      </c>
      <c r="Q144" s="46">
        <f t="shared" ref="Q144" si="870">IFERROR(P144/$I144,"")</f>
        <v>1.6393442622950821E-2</v>
      </c>
      <c r="R144" s="5">
        <v>30</v>
      </c>
      <c r="S144" s="46">
        <f t="shared" ref="S144" si="871">IFERROR(R144/$I144,"")</f>
        <v>0.49180327868852458</v>
      </c>
      <c r="T144" s="5">
        <v>0</v>
      </c>
      <c r="U144" s="46">
        <f t="shared" ref="U144" si="872">IFERROR(T144/$I144,"")</f>
        <v>0</v>
      </c>
      <c r="V144" s="5">
        <v>2</v>
      </c>
      <c r="W144" s="46">
        <f t="shared" ref="W144" si="873">IFERROR(V144/$I144,"")</f>
        <v>3.2786885245901641E-2</v>
      </c>
      <c r="X144" s="5">
        <v>1</v>
      </c>
      <c r="Y144" s="46">
        <f t="shared" ref="Y144" si="874">IFERROR(X144/$I144,"")</f>
        <v>1.6393442622950821E-2</v>
      </c>
      <c r="Z144" s="5">
        <v>0</v>
      </c>
      <c r="AA144" s="46">
        <f t="shared" ref="AA144" si="875">IFERROR(Z144/$I144,"")</f>
        <v>0</v>
      </c>
      <c r="AB144" s="5">
        <v>34</v>
      </c>
      <c r="AC144" s="46">
        <f t="shared" si="792"/>
        <v>0.6071428571428571</v>
      </c>
      <c r="AD144" s="5">
        <v>37</v>
      </c>
      <c r="AE144" s="5">
        <v>50539</v>
      </c>
      <c r="AF144" s="5">
        <f t="shared" si="793"/>
        <v>1486.4411764705883</v>
      </c>
      <c r="AG144" s="5">
        <v>0</v>
      </c>
      <c r="AH144" s="49">
        <f t="shared" si="794"/>
        <v>0</v>
      </c>
      <c r="AI144" s="5">
        <v>0</v>
      </c>
      <c r="AJ144" s="5">
        <v>7</v>
      </c>
      <c r="AK144" s="4">
        <v>3</v>
      </c>
      <c r="AL144" s="7">
        <v>3</v>
      </c>
      <c r="AM144" s="4">
        <v>0</v>
      </c>
      <c r="AN144" s="4">
        <v>0</v>
      </c>
      <c r="AO144" s="11">
        <f t="shared" si="795"/>
        <v>100</v>
      </c>
      <c r="AP144" s="50">
        <f t="shared" si="796"/>
        <v>5.3571428571428568E-2</v>
      </c>
      <c r="AQ144" s="7">
        <v>56</v>
      </c>
      <c r="AR144" s="50">
        <f t="shared" si="797"/>
        <v>1</v>
      </c>
      <c r="AS144" s="4"/>
    </row>
    <row r="145" spans="1:45" ht="18" customHeight="1" x14ac:dyDescent="0.3">
      <c r="A145" s="4" t="s">
        <v>38</v>
      </c>
      <c r="B145" s="4" t="s">
        <v>76</v>
      </c>
      <c r="C145" s="4" t="s">
        <v>47</v>
      </c>
      <c r="D145" s="4" t="s">
        <v>154</v>
      </c>
      <c r="E145" s="4" t="s">
        <v>77</v>
      </c>
      <c r="F145" s="7" t="s">
        <v>48</v>
      </c>
      <c r="G145" s="4"/>
      <c r="H145" s="5">
        <v>83</v>
      </c>
      <c r="I145" s="5">
        <v>101</v>
      </c>
      <c r="J145" s="6">
        <f t="shared" si="784"/>
        <v>1.2168674698795181</v>
      </c>
      <c r="K145" s="5">
        <v>18</v>
      </c>
      <c r="L145" s="5">
        <v>10</v>
      </c>
      <c r="M145" s="5">
        <v>5</v>
      </c>
      <c r="N145" s="9">
        <v>3</v>
      </c>
      <c r="O145" s="46">
        <f t="shared" si="785"/>
        <v>2.9702970297029702E-2</v>
      </c>
      <c r="P145" s="5">
        <v>2</v>
      </c>
      <c r="Q145" s="46">
        <f t="shared" ref="Q145" si="876">IFERROR(P145/$I145,"")</f>
        <v>1.9801980198019802E-2</v>
      </c>
      <c r="R145" s="5">
        <v>0</v>
      </c>
      <c r="S145" s="46">
        <f t="shared" ref="S145" si="877">IFERROR(R145/$I145,"")</f>
        <v>0</v>
      </c>
      <c r="T145" s="5">
        <v>0</v>
      </c>
      <c r="U145" s="46">
        <f t="shared" ref="U145" si="878">IFERROR(T145/$I145,"")</f>
        <v>0</v>
      </c>
      <c r="V145" s="5">
        <v>6</v>
      </c>
      <c r="W145" s="46">
        <f t="shared" ref="W145" si="879">IFERROR(V145/$I145,"")</f>
        <v>5.9405940594059403E-2</v>
      </c>
      <c r="X145" s="5">
        <v>9</v>
      </c>
      <c r="Y145" s="46">
        <f t="shared" ref="Y145" si="880">IFERROR(X145/$I145,"")</f>
        <v>8.9108910891089105E-2</v>
      </c>
      <c r="Z145" s="5">
        <v>14</v>
      </c>
      <c r="AA145" s="46">
        <f t="shared" ref="AA145" si="881">IFERROR(Z145/$I145,"")</f>
        <v>0.13861386138613863</v>
      </c>
      <c r="AB145" s="5">
        <v>22</v>
      </c>
      <c r="AC145" s="46">
        <f t="shared" si="792"/>
        <v>0.26506024096385544</v>
      </c>
      <c r="AD145" s="5">
        <v>23</v>
      </c>
      <c r="AE145" s="5">
        <v>26614</v>
      </c>
      <c r="AF145" s="5">
        <f t="shared" si="793"/>
        <v>1209.7272727272727</v>
      </c>
      <c r="AG145" s="5">
        <v>0</v>
      </c>
      <c r="AH145" s="49">
        <f t="shared" si="794"/>
        <v>0</v>
      </c>
      <c r="AI145" s="5">
        <v>0</v>
      </c>
      <c r="AJ145" s="5">
        <v>0</v>
      </c>
      <c r="AK145" s="4">
        <v>16</v>
      </c>
      <c r="AL145" s="7">
        <v>14</v>
      </c>
      <c r="AM145" s="4">
        <v>1</v>
      </c>
      <c r="AN145" s="4">
        <v>1</v>
      </c>
      <c r="AO145" s="11">
        <f t="shared" si="795"/>
        <v>81.25</v>
      </c>
      <c r="AP145" s="50">
        <f t="shared" si="796"/>
        <v>0.19277108433734941</v>
      </c>
      <c r="AQ145" s="7">
        <v>83</v>
      </c>
      <c r="AR145" s="50">
        <f t="shared" si="797"/>
        <v>1</v>
      </c>
      <c r="AS145" s="4"/>
    </row>
    <row r="146" spans="1:45" ht="18" customHeight="1" x14ac:dyDescent="0.3">
      <c r="A146" s="4" t="s">
        <v>38</v>
      </c>
      <c r="B146" s="4" t="s">
        <v>78</v>
      </c>
      <c r="C146" s="4" t="s">
        <v>47</v>
      </c>
      <c r="D146" s="4" t="s">
        <v>79</v>
      </c>
      <c r="E146" s="4" t="s">
        <v>80</v>
      </c>
      <c r="F146" s="7" t="s">
        <v>48</v>
      </c>
      <c r="G146" s="4" t="s">
        <v>81</v>
      </c>
      <c r="H146" s="5">
        <v>105</v>
      </c>
      <c r="I146" s="5">
        <v>85</v>
      </c>
      <c r="J146" s="6">
        <f t="shared" si="784"/>
        <v>0.80952380952380953</v>
      </c>
      <c r="K146" s="5">
        <v>25</v>
      </c>
      <c r="L146" s="5">
        <v>15</v>
      </c>
      <c r="M146" s="5">
        <v>7</v>
      </c>
      <c r="N146" s="9">
        <v>8</v>
      </c>
      <c r="O146" s="46">
        <f t="shared" si="785"/>
        <v>9.4117647058823528E-2</v>
      </c>
      <c r="P146" s="5">
        <v>5</v>
      </c>
      <c r="Q146" s="46">
        <f t="shared" ref="Q146" si="882">IFERROR(P146/$I146,"")</f>
        <v>5.8823529411764705E-2</v>
      </c>
      <c r="R146" s="5">
        <v>34</v>
      </c>
      <c r="S146" s="46">
        <f t="shared" ref="S146" si="883">IFERROR(R146/$I146,"")</f>
        <v>0.4</v>
      </c>
      <c r="T146" s="5">
        <v>0</v>
      </c>
      <c r="U146" s="46">
        <f t="shared" ref="U146" si="884">IFERROR(T146/$I146,"")</f>
        <v>0</v>
      </c>
      <c r="V146" s="5">
        <v>4</v>
      </c>
      <c r="W146" s="46">
        <f t="shared" ref="W146" si="885">IFERROR(V146/$I146,"")</f>
        <v>4.7058823529411764E-2</v>
      </c>
      <c r="X146" s="5">
        <v>5</v>
      </c>
      <c r="Y146" s="46">
        <f t="shared" ref="Y146" si="886">IFERROR(X146/$I146,"")</f>
        <v>5.8823529411764705E-2</v>
      </c>
      <c r="Z146" s="5">
        <v>6</v>
      </c>
      <c r="AA146" s="46">
        <f t="shared" ref="AA146" si="887">IFERROR(Z146/$I146,"")</f>
        <v>7.0588235294117646E-2</v>
      </c>
      <c r="AB146" s="5">
        <v>26</v>
      </c>
      <c r="AC146" s="46">
        <f t="shared" si="792"/>
        <v>0.24761904761904763</v>
      </c>
      <c r="AD146" s="5">
        <v>32</v>
      </c>
      <c r="AE146" s="5">
        <v>44265</v>
      </c>
      <c r="AF146" s="5">
        <f t="shared" si="793"/>
        <v>1702.5</v>
      </c>
      <c r="AG146" s="5">
        <v>900</v>
      </c>
      <c r="AH146" s="49">
        <f t="shared" si="794"/>
        <v>10.588235294117647</v>
      </c>
      <c r="AI146" s="5">
        <v>0</v>
      </c>
      <c r="AJ146" s="5">
        <v>5</v>
      </c>
      <c r="AK146" s="4">
        <v>13</v>
      </c>
      <c r="AL146" s="7">
        <v>11</v>
      </c>
      <c r="AM146" s="4">
        <v>0</v>
      </c>
      <c r="AN146" s="4">
        <v>2</v>
      </c>
      <c r="AO146" s="11">
        <f t="shared" si="795"/>
        <v>69.230769230769226</v>
      </c>
      <c r="AP146" s="50">
        <f t="shared" si="796"/>
        <v>0.12380952380952381</v>
      </c>
      <c r="AQ146" s="7">
        <v>105</v>
      </c>
      <c r="AR146" s="50">
        <f t="shared" si="797"/>
        <v>1</v>
      </c>
      <c r="AS146" s="4"/>
    </row>
    <row r="147" spans="1:45" ht="18" customHeight="1" x14ac:dyDescent="0.3">
      <c r="A147" s="4" t="s">
        <v>38</v>
      </c>
      <c r="B147" s="4" t="s">
        <v>82</v>
      </c>
      <c r="C147" s="4" t="s">
        <v>83</v>
      </c>
      <c r="D147" s="4" t="s">
        <v>86</v>
      </c>
      <c r="E147" s="4" t="s">
        <v>87</v>
      </c>
      <c r="F147" s="7" t="s">
        <v>48</v>
      </c>
      <c r="G147" s="4" t="s">
        <v>88</v>
      </c>
      <c r="H147" s="5">
        <v>333</v>
      </c>
      <c r="I147" s="5">
        <v>118</v>
      </c>
      <c r="J147" s="6">
        <f t="shared" si="784"/>
        <v>0.35435435435435436</v>
      </c>
      <c r="K147" s="5">
        <v>38</v>
      </c>
      <c r="L147" s="5">
        <v>22</v>
      </c>
      <c r="M147" s="5">
        <v>9</v>
      </c>
      <c r="N147" s="9">
        <v>29</v>
      </c>
      <c r="O147" s="46">
        <f t="shared" si="785"/>
        <v>0.24576271186440679</v>
      </c>
      <c r="P147" s="5">
        <v>9</v>
      </c>
      <c r="Q147" s="46">
        <f t="shared" ref="Q147" si="888">IFERROR(P147/$I147,"")</f>
        <v>7.6271186440677971E-2</v>
      </c>
      <c r="R147" s="5">
        <v>49</v>
      </c>
      <c r="S147" s="46">
        <f t="shared" ref="S147" si="889">IFERROR(R147/$I147,"")</f>
        <v>0.4152542372881356</v>
      </c>
      <c r="T147" s="5">
        <v>2</v>
      </c>
      <c r="U147" s="46">
        <f t="shared" ref="U147" si="890">IFERROR(T147/$I147,"")</f>
        <v>1.6949152542372881E-2</v>
      </c>
      <c r="V147" s="5">
        <v>5</v>
      </c>
      <c r="W147" s="46">
        <f t="shared" ref="W147" si="891">IFERROR(V147/$I147,"")</f>
        <v>4.2372881355932202E-2</v>
      </c>
      <c r="X147" s="5">
        <v>11</v>
      </c>
      <c r="Y147" s="46">
        <f t="shared" ref="Y147" si="892">IFERROR(X147/$I147,"")</f>
        <v>9.3220338983050849E-2</v>
      </c>
      <c r="Z147" s="5">
        <v>7</v>
      </c>
      <c r="AA147" s="46">
        <f t="shared" ref="AA147" si="893">IFERROR(Z147/$I147,"")</f>
        <v>5.9322033898305086E-2</v>
      </c>
      <c r="AB147" s="5">
        <v>30</v>
      </c>
      <c r="AC147" s="46">
        <f t="shared" si="792"/>
        <v>9.0090090090090086E-2</v>
      </c>
      <c r="AD147" s="5">
        <v>31</v>
      </c>
      <c r="AE147" s="5">
        <v>46373</v>
      </c>
      <c r="AF147" s="5">
        <f t="shared" si="793"/>
        <v>1545.7666666666667</v>
      </c>
      <c r="AG147" s="5">
        <v>0</v>
      </c>
      <c r="AH147" s="49">
        <f t="shared" si="794"/>
        <v>0</v>
      </c>
      <c r="AI147" s="5">
        <v>0</v>
      </c>
      <c r="AJ147" s="5">
        <v>16</v>
      </c>
      <c r="AK147" s="4">
        <v>43</v>
      </c>
      <c r="AL147" s="7">
        <v>41</v>
      </c>
      <c r="AM147" s="4">
        <v>0</v>
      </c>
      <c r="AN147" s="4">
        <v>2</v>
      </c>
      <c r="AO147" s="11">
        <f t="shared" si="795"/>
        <v>90.697674418604649</v>
      </c>
      <c r="AP147" s="50">
        <f t="shared" si="796"/>
        <v>0.12912912912912913</v>
      </c>
      <c r="AQ147" s="7">
        <v>333</v>
      </c>
      <c r="AR147" s="50">
        <f t="shared" si="797"/>
        <v>1</v>
      </c>
      <c r="AS147" s="4"/>
    </row>
    <row r="148" spans="1:45" ht="18" customHeight="1" x14ac:dyDescent="0.3">
      <c r="A148" s="4" t="s">
        <v>38</v>
      </c>
      <c r="B148" s="4" t="s">
        <v>82</v>
      </c>
      <c r="C148" s="4" t="s">
        <v>83</v>
      </c>
      <c r="D148" s="4"/>
      <c r="E148" s="4" t="s">
        <v>155</v>
      </c>
      <c r="F148" s="7" t="s">
        <v>48</v>
      </c>
      <c r="G148" s="4" t="s">
        <v>88</v>
      </c>
      <c r="H148" s="5">
        <v>54</v>
      </c>
      <c r="I148" s="5">
        <v>27</v>
      </c>
      <c r="J148" s="6">
        <f t="shared" si="784"/>
        <v>0.5</v>
      </c>
      <c r="K148" s="5">
        <v>15</v>
      </c>
      <c r="L148" s="5">
        <v>9</v>
      </c>
      <c r="M148" s="5">
        <v>5</v>
      </c>
      <c r="N148" s="9">
        <v>7</v>
      </c>
      <c r="O148" s="46">
        <f t="shared" si="785"/>
        <v>0.25925925925925924</v>
      </c>
      <c r="P148" s="5">
        <v>1</v>
      </c>
      <c r="Q148" s="46">
        <f t="shared" ref="Q148" si="894">IFERROR(P148/$I148,"")</f>
        <v>3.7037037037037035E-2</v>
      </c>
      <c r="R148" s="5">
        <v>6</v>
      </c>
      <c r="S148" s="46">
        <f t="shared" ref="S148" si="895">IFERROR(R148/$I148,"")</f>
        <v>0.22222222222222221</v>
      </c>
      <c r="T148" s="5">
        <v>0</v>
      </c>
      <c r="U148" s="46">
        <f t="shared" ref="U148" si="896">IFERROR(T148/$I148,"")</f>
        <v>0</v>
      </c>
      <c r="V148" s="5">
        <v>3</v>
      </c>
      <c r="W148" s="46">
        <f t="shared" ref="W148" si="897">IFERROR(V148/$I148,"")</f>
        <v>0.1111111111111111</v>
      </c>
      <c r="X148" s="5">
        <v>3</v>
      </c>
      <c r="Y148" s="46">
        <f t="shared" ref="Y148" si="898">IFERROR(X148/$I148,"")</f>
        <v>0.1111111111111111</v>
      </c>
      <c r="Z148" s="5">
        <v>1</v>
      </c>
      <c r="AA148" s="46">
        <f t="shared" ref="AA148" si="899">IFERROR(Z148/$I148,"")</f>
        <v>3.7037037037037035E-2</v>
      </c>
      <c r="AB148" s="5">
        <v>4</v>
      </c>
      <c r="AC148" s="46">
        <f t="shared" si="792"/>
        <v>7.407407407407407E-2</v>
      </c>
      <c r="AD148" s="5">
        <v>6</v>
      </c>
      <c r="AE148" s="5">
        <v>7019</v>
      </c>
      <c r="AF148" s="5">
        <f t="shared" si="793"/>
        <v>1754.75</v>
      </c>
      <c r="AG148" s="5">
        <v>0</v>
      </c>
      <c r="AH148" s="49">
        <f t="shared" si="794"/>
        <v>0</v>
      </c>
      <c r="AI148" s="5">
        <v>0</v>
      </c>
      <c r="AJ148" s="5">
        <v>1</v>
      </c>
      <c r="AK148" s="4">
        <v>20</v>
      </c>
      <c r="AL148" s="7">
        <v>19</v>
      </c>
      <c r="AM148" s="4">
        <v>1</v>
      </c>
      <c r="AN148" s="4">
        <v>0</v>
      </c>
      <c r="AO148" s="11">
        <f t="shared" si="795"/>
        <v>95</v>
      </c>
      <c r="AP148" s="50">
        <f t="shared" si="796"/>
        <v>0.37037037037037035</v>
      </c>
      <c r="AQ148" s="7">
        <v>54</v>
      </c>
      <c r="AR148" s="50">
        <f t="shared" si="797"/>
        <v>1</v>
      </c>
      <c r="AS148" s="4"/>
    </row>
    <row r="149" spans="1:45" ht="18" customHeight="1" x14ac:dyDescent="0.3">
      <c r="A149" s="4" t="s">
        <v>38</v>
      </c>
      <c r="B149" s="4" t="s">
        <v>89</v>
      </c>
      <c r="C149" s="4" t="s">
        <v>83</v>
      </c>
      <c r="D149" s="4" t="s">
        <v>90</v>
      </c>
      <c r="E149" s="4" t="s">
        <v>91</v>
      </c>
      <c r="F149" s="7" t="s">
        <v>48</v>
      </c>
      <c r="G149" s="4" t="s">
        <v>54</v>
      </c>
      <c r="H149" s="5">
        <v>162</v>
      </c>
      <c r="I149" s="5">
        <v>89</v>
      </c>
      <c r="J149" s="6">
        <f t="shared" si="784"/>
        <v>0.54938271604938271</v>
      </c>
      <c r="K149" s="5">
        <v>39</v>
      </c>
      <c r="L149" s="5">
        <v>17</v>
      </c>
      <c r="M149" s="5">
        <v>10</v>
      </c>
      <c r="N149" s="9">
        <v>19</v>
      </c>
      <c r="O149" s="46">
        <f t="shared" si="785"/>
        <v>0.21348314606741572</v>
      </c>
      <c r="P149" s="5">
        <v>0</v>
      </c>
      <c r="Q149" s="46">
        <f t="shared" ref="Q149" si="900">IFERROR(P149/$I149,"")</f>
        <v>0</v>
      </c>
      <c r="R149" s="5">
        <v>52</v>
      </c>
      <c r="S149" s="46">
        <f t="shared" ref="S149" si="901">IFERROR(R149/$I149,"")</f>
        <v>0.5842696629213483</v>
      </c>
      <c r="T149" s="5">
        <v>2</v>
      </c>
      <c r="U149" s="46">
        <f t="shared" ref="U149" si="902">IFERROR(T149/$I149,"")</f>
        <v>2.247191011235955E-2</v>
      </c>
      <c r="V149" s="5">
        <v>14</v>
      </c>
      <c r="W149" s="46">
        <f t="shared" ref="W149" si="903">IFERROR(V149/$I149,"")</f>
        <v>0.15730337078651685</v>
      </c>
      <c r="X149" s="5">
        <v>11</v>
      </c>
      <c r="Y149" s="46">
        <f t="shared" ref="Y149" si="904">IFERROR(X149/$I149,"")</f>
        <v>0.12359550561797752</v>
      </c>
      <c r="Z149" s="5">
        <v>13</v>
      </c>
      <c r="AA149" s="46">
        <f t="shared" ref="AA149" si="905">IFERROR(Z149/$I149,"")</f>
        <v>0.14606741573033707</v>
      </c>
      <c r="AB149" s="5">
        <v>55</v>
      </c>
      <c r="AC149" s="46">
        <f t="shared" si="792"/>
        <v>0.33950617283950618</v>
      </c>
      <c r="AD149" s="5">
        <v>56</v>
      </c>
      <c r="AE149" s="5">
        <v>105835</v>
      </c>
      <c r="AF149" s="5">
        <f t="shared" si="793"/>
        <v>1924.2727272727273</v>
      </c>
      <c r="AG149" s="5">
        <v>819.49</v>
      </c>
      <c r="AH149" s="49">
        <f t="shared" si="794"/>
        <v>9.207752808988765</v>
      </c>
      <c r="AI149" s="5">
        <v>15850</v>
      </c>
      <c r="AJ149" s="5">
        <v>27</v>
      </c>
      <c r="AK149" s="4">
        <v>17</v>
      </c>
      <c r="AL149" s="7">
        <v>15</v>
      </c>
      <c r="AM149" s="4">
        <v>2</v>
      </c>
      <c r="AN149" s="4">
        <v>0</v>
      </c>
      <c r="AO149" s="11">
        <f t="shared" si="795"/>
        <v>88.235294117647058</v>
      </c>
      <c r="AP149" s="50">
        <f t="shared" si="796"/>
        <v>0.10493827160493827</v>
      </c>
      <c r="AQ149" s="7">
        <v>162</v>
      </c>
      <c r="AR149" s="50">
        <f t="shared" si="797"/>
        <v>1</v>
      </c>
      <c r="AS149" s="4"/>
    </row>
    <row r="150" spans="1:45" ht="18" customHeight="1" x14ac:dyDescent="0.3">
      <c r="A150" s="4" t="s">
        <v>38</v>
      </c>
      <c r="B150" s="4" t="s">
        <v>89</v>
      </c>
      <c r="C150" s="4" t="s">
        <v>83</v>
      </c>
      <c r="D150" s="4" t="s">
        <v>92</v>
      </c>
      <c r="E150" s="4" t="s">
        <v>93</v>
      </c>
      <c r="F150" s="7" t="s">
        <v>48</v>
      </c>
      <c r="G150" s="4" t="s">
        <v>49</v>
      </c>
      <c r="H150" s="5">
        <v>151</v>
      </c>
      <c r="I150" s="5">
        <v>91</v>
      </c>
      <c r="J150" s="6">
        <f t="shared" si="784"/>
        <v>0.60264900662251653</v>
      </c>
      <c r="K150" s="5">
        <v>35</v>
      </c>
      <c r="L150" s="5">
        <v>18</v>
      </c>
      <c r="M150" s="5">
        <v>10</v>
      </c>
      <c r="N150" s="9">
        <v>14</v>
      </c>
      <c r="O150" s="46">
        <f t="shared" si="785"/>
        <v>0.15384615384615385</v>
      </c>
      <c r="P150" s="5">
        <v>6</v>
      </c>
      <c r="Q150" s="46">
        <f t="shared" ref="Q150" si="906">IFERROR(P150/$I150,"")</f>
        <v>6.5934065934065936E-2</v>
      </c>
      <c r="R150" s="5">
        <v>46</v>
      </c>
      <c r="S150" s="46">
        <f t="shared" ref="S150" si="907">IFERROR(R150/$I150,"")</f>
        <v>0.50549450549450547</v>
      </c>
      <c r="T150" s="5">
        <v>8</v>
      </c>
      <c r="U150" s="46">
        <f t="shared" ref="U150" si="908">IFERROR(T150/$I150,"")</f>
        <v>8.7912087912087919E-2</v>
      </c>
      <c r="V150" s="5">
        <v>11</v>
      </c>
      <c r="W150" s="46">
        <f t="shared" ref="W150" si="909">IFERROR(V150/$I150,"")</f>
        <v>0.12087912087912088</v>
      </c>
      <c r="X150" s="5">
        <v>18</v>
      </c>
      <c r="Y150" s="46">
        <f t="shared" ref="Y150" si="910">IFERROR(X150/$I150,"")</f>
        <v>0.19780219780219779</v>
      </c>
      <c r="Z150" s="5">
        <v>6</v>
      </c>
      <c r="AA150" s="46">
        <f t="shared" ref="AA150" si="911">IFERROR(Z150/$I150,"")</f>
        <v>6.5934065934065936E-2</v>
      </c>
      <c r="AB150" s="5">
        <v>71</v>
      </c>
      <c r="AC150" s="46">
        <f t="shared" si="792"/>
        <v>0.47019867549668876</v>
      </c>
      <c r="AD150" s="5">
        <v>76</v>
      </c>
      <c r="AE150" s="5">
        <v>95469</v>
      </c>
      <c r="AF150" s="5">
        <f t="shared" si="793"/>
        <v>1344.6338028169014</v>
      </c>
      <c r="AG150" s="5">
        <v>0</v>
      </c>
      <c r="AH150" s="49">
        <f t="shared" si="794"/>
        <v>0</v>
      </c>
      <c r="AI150" s="5">
        <v>34058</v>
      </c>
      <c r="AJ150" s="5">
        <v>22</v>
      </c>
      <c r="AK150" s="4">
        <v>18</v>
      </c>
      <c r="AL150" s="7">
        <v>18</v>
      </c>
      <c r="AM150" s="4">
        <v>0</v>
      </c>
      <c r="AN150" s="4">
        <v>0</v>
      </c>
      <c r="AO150" s="11">
        <f t="shared" si="795"/>
        <v>100</v>
      </c>
      <c r="AP150" s="50">
        <f t="shared" si="796"/>
        <v>0.11920529801324503</v>
      </c>
      <c r="AQ150" s="7">
        <v>151</v>
      </c>
      <c r="AR150" s="50">
        <f t="shared" si="797"/>
        <v>1</v>
      </c>
      <c r="AS150" s="4"/>
    </row>
    <row r="151" spans="1:45" ht="18" customHeight="1" x14ac:dyDescent="0.3">
      <c r="A151" s="4" t="s">
        <v>38</v>
      </c>
      <c r="B151" s="4" t="s">
        <v>89</v>
      </c>
      <c r="C151" s="4" t="s">
        <v>83</v>
      </c>
      <c r="D151" s="4" t="s">
        <v>94</v>
      </c>
      <c r="E151" s="4" t="s">
        <v>95</v>
      </c>
      <c r="F151" s="7" t="s">
        <v>48</v>
      </c>
      <c r="G151" s="4" t="s">
        <v>81</v>
      </c>
      <c r="H151" s="5">
        <v>159</v>
      </c>
      <c r="I151" s="5">
        <v>111</v>
      </c>
      <c r="J151" s="6">
        <f t="shared" si="784"/>
        <v>0.69811320754716977</v>
      </c>
      <c r="K151" s="5">
        <v>37</v>
      </c>
      <c r="L151" s="5">
        <v>21</v>
      </c>
      <c r="M151" s="5">
        <v>12</v>
      </c>
      <c r="N151" s="9">
        <v>10</v>
      </c>
      <c r="O151" s="46">
        <f t="shared" si="785"/>
        <v>9.0090090090090086E-2</v>
      </c>
      <c r="P151" s="5">
        <v>5</v>
      </c>
      <c r="Q151" s="46">
        <f t="shared" ref="Q151" si="912">IFERROR(P151/$I151,"")</f>
        <v>4.5045045045045043E-2</v>
      </c>
      <c r="R151" s="5">
        <v>44</v>
      </c>
      <c r="S151" s="46">
        <f t="shared" ref="S151" si="913">IFERROR(R151/$I151,"")</f>
        <v>0.3963963963963964</v>
      </c>
      <c r="T151" s="5">
        <v>6</v>
      </c>
      <c r="U151" s="46">
        <f t="shared" ref="U151" si="914">IFERROR(T151/$I151,"")</f>
        <v>5.4054054054054057E-2</v>
      </c>
      <c r="V151" s="5">
        <v>14</v>
      </c>
      <c r="W151" s="46">
        <f t="shared" ref="W151" si="915">IFERROR(V151/$I151,"")</f>
        <v>0.12612612612612611</v>
      </c>
      <c r="X151" s="5">
        <v>14</v>
      </c>
      <c r="Y151" s="46">
        <f t="shared" ref="Y151" si="916">IFERROR(X151/$I151,"")</f>
        <v>0.12612612612612611</v>
      </c>
      <c r="Z151" s="5">
        <v>10</v>
      </c>
      <c r="AA151" s="46">
        <f t="shared" ref="AA151" si="917">IFERROR(Z151/$I151,"")</f>
        <v>9.0090090090090086E-2</v>
      </c>
      <c r="AB151" s="5">
        <v>67</v>
      </c>
      <c r="AC151" s="46">
        <f t="shared" si="792"/>
        <v>0.42138364779874216</v>
      </c>
      <c r="AD151" s="5">
        <v>72</v>
      </c>
      <c r="AE151" s="5">
        <v>90578</v>
      </c>
      <c r="AF151" s="5">
        <f t="shared" si="793"/>
        <v>1351.9104477611941</v>
      </c>
      <c r="AG151" s="5">
        <v>2229.62</v>
      </c>
      <c r="AH151" s="49">
        <f t="shared" si="794"/>
        <v>20.086666666666666</v>
      </c>
      <c r="AI151" s="5">
        <v>5018</v>
      </c>
      <c r="AJ151" s="5">
        <v>18</v>
      </c>
      <c r="AK151" s="4">
        <v>21</v>
      </c>
      <c r="AL151" s="7">
        <v>19</v>
      </c>
      <c r="AM151" s="4">
        <v>1</v>
      </c>
      <c r="AN151" s="4">
        <v>1</v>
      </c>
      <c r="AO151" s="11">
        <f t="shared" si="795"/>
        <v>85.714285714285708</v>
      </c>
      <c r="AP151" s="50">
        <f t="shared" si="796"/>
        <v>0.13207547169811321</v>
      </c>
      <c r="AQ151" s="7">
        <v>159</v>
      </c>
      <c r="AR151" s="50">
        <f t="shared" si="797"/>
        <v>1</v>
      </c>
      <c r="AS151" s="4"/>
    </row>
    <row r="152" spans="1:45" ht="18" customHeight="1" x14ac:dyDescent="0.3">
      <c r="A152" s="4" t="s">
        <v>38</v>
      </c>
      <c r="B152" s="4" t="s">
        <v>89</v>
      </c>
      <c r="C152" s="4" t="s">
        <v>83</v>
      </c>
      <c r="D152" s="4" t="s">
        <v>96</v>
      </c>
      <c r="E152" s="4" t="s">
        <v>97</v>
      </c>
      <c r="F152" s="7" t="s">
        <v>48</v>
      </c>
      <c r="G152" s="4" t="s">
        <v>65</v>
      </c>
      <c r="H152" s="5">
        <v>187</v>
      </c>
      <c r="I152" s="5">
        <v>104</v>
      </c>
      <c r="J152" s="6">
        <f t="shared" si="784"/>
        <v>0.55614973262032086</v>
      </c>
      <c r="K152" s="5">
        <v>61</v>
      </c>
      <c r="L152" s="5">
        <v>33</v>
      </c>
      <c r="M152" s="5">
        <v>14</v>
      </c>
      <c r="N152" s="9">
        <v>15</v>
      </c>
      <c r="O152" s="46">
        <f t="shared" si="785"/>
        <v>0.14423076923076922</v>
      </c>
      <c r="P152" s="5">
        <v>14</v>
      </c>
      <c r="Q152" s="46">
        <f t="shared" ref="Q152" si="918">IFERROR(P152/$I152,"")</f>
        <v>0.13461538461538461</v>
      </c>
      <c r="R152" s="5">
        <v>58</v>
      </c>
      <c r="S152" s="46">
        <f t="shared" ref="S152" si="919">IFERROR(R152/$I152,"")</f>
        <v>0.55769230769230771</v>
      </c>
      <c r="T152" s="5">
        <v>4</v>
      </c>
      <c r="U152" s="46">
        <f t="shared" ref="U152" si="920">IFERROR(T152/$I152,"")</f>
        <v>3.8461538461538464E-2</v>
      </c>
      <c r="V152" s="5">
        <v>18</v>
      </c>
      <c r="W152" s="46">
        <f t="shared" ref="W152" si="921">IFERROR(V152/$I152,"")</f>
        <v>0.17307692307692307</v>
      </c>
      <c r="X152" s="5">
        <v>15</v>
      </c>
      <c r="Y152" s="46">
        <f t="shared" ref="Y152" si="922">IFERROR(X152/$I152,"")</f>
        <v>0.14423076923076922</v>
      </c>
      <c r="Z152" s="5">
        <v>15</v>
      </c>
      <c r="AA152" s="46">
        <f t="shared" ref="AA152" si="923">IFERROR(Z152/$I152,"")</f>
        <v>0.14423076923076922</v>
      </c>
      <c r="AB152" s="5">
        <v>92</v>
      </c>
      <c r="AC152" s="46">
        <f t="shared" si="792"/>
        <v>0.49197860962566847</v>
      </c>
      <c r="AD152" s="5">
        <v>99</v>
      </c>
      <c r="AE152" s="5">
        <v>177622</v>
      </c>
      <c r="AF152" s="5">
        <f t="shared" si="793"/>
        <v>1930.6739130434783</v>
      </c>
      <c r="AG152" s="5">
        <v>2507.3900000000003</v>
      </c>
      <c r="AH152" s="49">
        <f t="shared" si="794"/>
        <v>24.109519230769234</v>
      </c>
      <c r="AI152" s="5">
        <v>16619</v>
      </c>
      <c r="AJ152" s="5">
        <v>18</v>
      </c>
      <c r="AK152" s="4">
        <v>20</v>
      </c>
      <c r="AL152" s="7">
        <v>19</v>
      </c>
      <c r="AM152" s="4">
        <v>1</v>
      </c>
      <c r="AN152" s="4">
        <v>0</v>
      </c>
      <c r="AO152" s="11">
        <f t="shared" si="795"/>
        <v>95</v>
      </c>
      <c r="AP152" s="50">
        <f t="shared" si="796"/>
        <v>0.10695187165775401</v>
      </c>
      <c r="AQ152" s="7">
        <v>187</v>
      </c>
      <c r="AR152" s="50">
        <f t="shared" si="797"/>
        <v>1</v>
      </c>
      <c r="AS152" s="4"/>
    </row>
    <row r="153" spans="1:45" ht="18" customHeight="1" x14ac:dyDescent="0.3">
      <c r="A153" s="4" t="s">
        <v>38</v>
      </c>
      <c r="B153" s="4" t="s">
        <v>98</v>
      </c>
      <c r="C153" s="4" t="s">
        <v>47</v>
      </c>
      <c r="D153" s="4" t="s">
        <v>99</v>
      </c>
      <c r="E153" s="4" t="s">
        <v>100</v>
      </c>
      <c r="F153" s="7" t="s">
        <v>48</v>
      </c>
      <c r="G153" s="4" t="s">
        <v>54</v>
      </c>
      <c r="H153" s="5">
        <v>159</v>
      </c>
      <c r="I153" s="5">
        <v>125</v>
      </c>
      <c r="J153" s="6">
        <f t="shared" si="784"/>
        <v>0.78616352201257866</v>
      </c>
      <c r="K153" s="5">
        <v>85</v>
      </c>
      <c r="L153" s="5">
        <v>48</v>
      </c>
      <c r="M153" s="5">
        <v>28</v>
      </c>
      <c r="N153" s="9">
        <v>8</v>
      </c>
      <c r="O153" s="46">
        <f t="shared" si="785"/>
        <v>6.4000000000000001E-2</v>
      </c>
      <c r="P153" s="5">
        <v>7</v>
      </c>
      <c r="Q153" s="46">
        <f t="shared" ref="Q153" si="924">IFERROR(P153/$I153,"")</f>
        <v>5.6000000000000001E-2</v>
      </c>
      <c r="R153" s="5">
        <v>49</v>
      </c>
      <c r="S153" s="46">
        <f t="shared" ref="S153" si="925">IFERROR(R153/$I153,"")</f>
        <v>0.39200000000000002</v>
      </c>
      <c r="T153" s="5">
        <v>5</v>
      </c>
      <c r="U153" s="46">
        <f t="shared" ref="U153" si="926">IFERROR(T153/$I153,"")</f>
        <v>0.04</v>
      </c>
      <c r="V153" s="5">
        <v>47</v>
      </c>
      <c r="W153" s="46">
        <f t="shared" ref="W153" si="927">IFERROR(V153/$I153,"")</f>
        <v>0.376</v>
      </c>
      <c r="X153" s="5">
        <v>31</v>
      </c>
      <c r="Y153" s="46">
        <f t="shared" ref="Y153" si="928">IFERROR(X153/$I153,"")</f>
        <v>0.248</v>
      </c>
      <c r="Z153" s="5">
        <v>12</v>
      </c>
      <c r="AA153" s="46">
        <f t="shared" ref="AA153" si="929">IFERROR(Z153/$I153,"")</f>
        <v>9.6000000000000002E-2</v>
      </c>
      <c r="AB153" s="5">
        <v>94</v>
      </c>
      <c r="AC153" s="46">
        <f t="shared" si="792"/>
        <v>0.5911949685534591</v>
      </c>
      <c r="AD153" s="5">
        <v>130</v>
      </c>
      <c r="AE153" s="5">
        <v>188285.95</v>
      </c>
      <c r="AF153" s="5">
        <f t="shared" si="793"/>
        <v>2003.042021276596</v>
      </c>
      <c r="AG153" s="5">
        <v>1169.69</v>
      </c>
      <c r="AH153" s="49">
        <f t="shared" si="794"/>
        <v>9.3575200000000009</v>
      </c>
      <c r="AI153" s="5">
        <v>16265</v>
      </c>
      <c r="AJ153" s="5">
        <v>14</v>
      </c>
      <c r="AK153" s="4">
        <v>35</v>
      </c>
      <c r="AL153" s="7">
        <v>32</v>
      </c>
      <c r="AM153" s="4">
        <v>3</v>
      </c>
      <c r="AN153" s="4">
        <v>0</v>
      </c>
      <c r="AO153" s="11">
        <f t="shared" si="795"/>
        <v>91.428571428571431</v>
      </c>
      <c r="AP153" s="50">
        <f t="shared" si="796"/>
        <v>0.22012578616352202</v>
      </c>
      <c r="AQ153" s="7">
        <v>159</v>
      </c>
      <c r="AR153" s="50">
        <f t="shared" si="797"/>
        <v>1</v>
      </c>
      <c r="AS153" s="4"/>
    </row>
    <row r="154" spans="1:45" ht="18" customHeight="1" x14ac:dyDescent="0.3">
      <c r="A154" s="4" t="s">
        <v>38</v>
      </c>
      <c r="B154" s="4" t="s">
        <v>98</v>
      </c>
      <c r="C154" s="4" t="s">
        <v>47</v>
      </c>
      <c r="D154" s="4" t="s">
        <v>101</v>
      </c>
      <c r="E154" s="4" t="s">
        <v>102</v>
      </c>
      <c r="F154" s="7" t="s">
        <v>48</v>
      </c>
      <c r="G154" s="4" t="s">
        <v>65</v>
      </c>
      <c r="H154" s="5">
        <v>132</v>
      </c>
      <c r="I154" s="5">
        <v>117</v>
      </c>
      <c r="J154" s="6">
        <f t="shared" si="784"/>
        <v>0.88636363636363635</v>
      </c>
      <c r="K154" s="5">
        <v>69</v>
      </c>
      <c r="L154" s="5">
        <v>31</v>
      </c>
      <c r="M154" s="5">
        <v>24</v>
      </c>
      <c r="N154" s="9">
        <v>14</v>
      </c>
      <c r="O154" s="46">
        <f t="shared" si="785"/>
        <v>0.11965811965811966</v>
      </c>
      <c r="P154" s="5">
        <v>7</v>
      </c>
      <c r="Q154" s="46">
        <f t="shared" ref="Q154" si="930">IFERROR(P154/$I154,"")</f>
        <v>5.9829059829059832E-2</v>
      </c>
      <c r="R154" s="5">
        <v>67</v>
      </c>
      <c r="S154" s="46">
        <f t="shared" ref="S154" si="931">IFERROR(R154/$I154,"")</f>
        <v>0.57264957264957261</v>
      </c>
      <c r="T154" s="5">
        <v>1</v>
      </c>
      <c r="U154" s="46">
        <f t="shared" ref="U154" si="932">IFERROR(T154/$I154,"")</f>
        <v>8.5470085470085479E-3</v>
      </c>
      <c r="V154" s="5">
        <v>14</v>
      </c>
      <c r="W154" s="46">
        <f t="shared" ref="W154" si="933">IFERROR(V154/$I154,"")</f>
        <v>0.11965811965811966</v>
      </c>
      <c r="X154" s="5">
        <v>9</v>
      </c>
      <c r="Y154" s="46">
        <f t="shared" ref="Y154" si="934">IFERROR(X154/$I154,"")</f>
        <v>7.6923076923076927E-2</v>
      </c>
      <c r="Z154" s="5">
        <v>17</v>
      </c>
      <c r="AA154" s="46">
        <f t="shared" ref="AA154" si="935">IFERROR(Z154/$I154,"")</f>
        <v>0.14529914529914531</v>
      </c>
      <c r="AB154" s="5">
        <v>66</v>
      </c>
      <c r="AC154" s="46">
        <f t="shared" si="792"/>
        <v>0.5</v>
      </c>
      <c r="AD154" s="5">
        <v>90</v>
      </c>
      <c r="AE154" s="5">
        <v>124228</v>
      </c>
      <c r="AF154" s="5">
        <f t="shared" si="793"/>
        <v>1882.2424242424242</v>
      </c>
      <c r="AG154" s="5">
        <v>2391.1999999999998</v>
      </c>
      <c r="AH154" s="49">
        <f t="shared" si="794"/>
        <v>20.437606837606836</v>
      </c>
      <c r="AI154" s="5">
        <v>8018</v>
      </c>
      <c r="AJ154" s="5">
        <v>13</v>
      </c>
      <c r="AK154" s="4">
        <v>20</v>
      </c>
      <c r="AL154" s="7">
        <v>16</v>
      </c>
      <c r="AM154" s="4">
        <v>2</v>
      </c>
      <c r="AN154" s="4">
        <v>2</v>
      </c>
      <c r="AO154" s="11">
        <f t="shared" si="795"/>
        <v>70</v>
      </c>
      <c r="AP154" s="50">
        <f t="shared" si="796"/>
        <v>0.15151515151515152</v>
      </c>
      <c r="AQ154" s="7">
        <v>132</v>
      </c>
      <c r="AR154" s="50">
        <f t="shared" si="797"/>
        <v>1</v>
      </c>
      <c r="AS154" s="4"/>
    </row>
    <row r="155" spans="1:45" ht="18" customHeight="1" x14ac:dyDescent="0.3">
      <c r="A155" s="4" t="s">
        <v>38</v>
      </c>
      <c r="B155" s="4" t="s">
        <v>98</v>
      </c>
      <c r="C155" s="4" t="s">
        <v>47</v>
      </c>
      <c r="D155" s="4" t="s">
        <v>103</v>
      </c>
      <c r="E155" s="4" t="s">
        <v>104</v>
      </c>
      <c r="F155" s="7" t="s">
        <v>48</v>
      </c>
      <c r="G155" s="4" t="s">
        <v>65</v>
      </c>
      <c r="H155" s="5">
        <v>131</v>
      </c>
      <c r="I155" s="5">
        <v>112</v>
      </c>
      <c r="J155" s="6">
        <f t="shared" si="784"/>
        <v>0.85496183206106868</v>
      </c>
      <c r="K155" s="5">
        <v>60</v>
      </c>
      <c r="L155" s="5">
        <v>33</v>
      </c>
      <c r="M155" s="5">
        <v>22</v>
      </c>
      <c r="N155" s="9">
        <v>24</v>
      </c>
      <c r="O155" s="46">
        <f t="shared" si="785"/>
        <v>0.21428571428571427</v>
      </c>
      <c r="P155" s="5">
        <v>2</v>
      </c>
      <c r="Q155" s="46">
        <f t="shared" ref="Q155" si="936">IFERROR(P155/$I155,"")</f>
        <v>1.7857142857142856E-2</v>
      </c>
      <c r="R155" s="5">
        <v>52</v>
      </c>
      <c r="S155" s="46">
        <f t="shared" ref="S155" si="937">IFERROR(R155/$I155,"")</f>
        <v>0.4642857142857143</v>
      </c>
      <c r="T155" s="5">
        <v>4</v>
      </c>
      <c r="U155" s="46">
        <f t="shared" ref="U155" si="938">IFERROR(T155/$I155,"")</f>
        <v>3.5714285714285712E-2</v>
      </c>
      <c r="V155" s="5">
        <v>19</v>
      </c>
      <c r="W155" s="46">
        <f t="shared" ref="W155" si="939">IFERROR(V155/$I155,"")</f>
        <v>0.16964285714285715</v>
      </c>
      <c r="X155" s="5">
        <v>12</v>
      </c>
      <c r="Y155" s="46">
        <f t="shared" ref="Y155" si="940">IFERROR(X155/$I155,"")</f>
        <v>0.10714285714285714</v>
      </c>
      <c r="Z155" s="5">
        <v>10</v>
      </c>
      <c r="AA155" s="46">
        <f t="shared" ref="AA155" si="941">IFERROR(Z155/$I155,"")</f>
        <v>8.9285714285714288E-2</v>
      </c>
      <c r="AB155" s="5">
        <v>77</v>
      </c>
      <c r="AC155" s="46">
        <f t="shared" si="792"/>
        <v>0.58778625954198471</v>
      </c>
      <c r="AD155" s="5">
        <v>97</v>
      </c>
      <c r="AE155" s="5">
        <v>152446</v>
      </c>
      <c r="AF155" s="5">
        <f t="shared" si="793"/>
        <v>1979.8181818181818</v>
      </c>
      <c r="AG155" s="5">
        <v>6656.51</v>
      </c>
      <c r="AH155" s="49">
        <f t="shared" si="794"/>
        <v>59.433125000000004</v>
      </c>
      <c r="AI155" s="5">
        <v>22905</v>
      </c>
      <c r="AJ155" s="5">
        <v>13</v>
      </c>
      <c r="AK155" s="4">
        <v>29</v>
      </c>
      <c r="AL155" s="7">
        <v>28</v>
      </c>
      <c r="AM155" s="4">
        <v>1</v>
      </c>
      <c r="AN155" s="4">
        <v>0</v>
      </c>
      <c r="AO155" s="11">
        <f t="shared" si="795"/>
        <v>96.551724137931032</v>
      </c>
      <c r="AP155" s="50">
        <f t="shared" si="796"/>
        <v>0.22137404580152673</v>
      </c>
      <c r="AQ155" s="7">
        <v>131</v>
      </c>
      <c r="AR155" s="50">
        <f t="shared" si="797"/>
        <v>1</v>
      </c>
      <c r="AS155" s="4"/>
    </row>
    <row r="156" spans="1:45" ht="18" customHeight="1" x14ac:dyDescent="0.3">
      <c r="A156" s="4" t="s">
        <v>38</v>
      </c>
      <c r="B156" s="4" t="s">
        <v>98</v>
      </c>
      <c r="C156" s="4" t="s">
        <v>47</v>
      </c>
      <c r="D156" s="4" t="s">
        <v>105</v>
      </c>
      <c r="E156" s="4" t="s">
        <v>106</v>
      </c>
      <c r="F156" s="7" t="s">
        <v>48</v>
      </c>
      <c r="G156" s="4" t="s">
        <v>72</v>
      </c>
      <c r="H156" s="5">
        <v>149</v>
      </c>
      <c r="I156" s="5">
        <v>138</v>
      </c>
      <c r="J156" s="6">
        <f t="shared" si="784"/>
        <v>0.9261744966442953</v>
      </c>
      <c r="K156" s="5">
        <v>82</v>
      </c>
      <c r="L156" s="5">
        <v>42</v>
      </c>
      <c r="M156" s="5">
        <v>23</v>
      </c>
      <c r="N156" s="9">
        <v>25</v>
      </c>
      <c r="O156" s="46">
        <f t="shared" si="785"/>
        <v>0.18115942028985507</v>
      </c>
      <c r="P156" s="5">
        <v>5</v>
      </c>
      <c r="Q156" s="46">
        <f t="shared" ref="Q156" si="942">IFERROR(P156/$I156,"")</f>
        <v>3.6231884057971016E-2</v>
      </c>
      <c r="R156" s="5">
        <v>51</v>
      </c>
      <c r="S156" s="46">
        <f t="shared" ref="S156" si="943">IFERROR(R156/$I156,"")</f>
        <v>0.36956521739130432</v>
      </c>
      <c r="T156" s="5">
        <v>2</v>
      </c>
      <c r="U156" s="46">
        <f t="shared" ref="U156" si="944">IFERROR(T156/$I156,"")</f>
        <v>1.4492753623188406E-2</v>
      </c>
      <c r="V156" s="5">
        <v>31</v>
      </c>
      <c r="W156" s="46">
        <f t="shared" ref="W156" si="945">IFERROR(V156/$I156,"")</f>
        <v>0.22463768115942029</v>
      </c>
      <c r="X156" s="5">
        <v>28</v>
      </c>
      <c r="Y156" s="46">
        <f t="shared" ref="Y156" si="946">IFERROR(X156/$I156,"")</f>
        <v>0.20289855072463769</v>
      </c>
      <c r="Z156" s="5">
        <v>10</v>
      </c>
      <c r="AA156" s="46">
        <f t="shared" ref="AA156" si="947">IFERROR(Z156/$I156,"")</f>
        <v>7.2463768115942032E-2</v>
      </c>
      <c r="AB156" s="5">
        <v>101</v>
      </c>
      <c r="AC156" s="46">
        <f t="shared" si="792"/>
        <v>0.67785234899328861</v>
      </c>
      <c r="AD156" s="5">
        <v>119</v>
      </c>
      <c r="AE156" s="5">
        <v>183583</v>
      </c>
      <c r="AF156" s="5">
        <f t="shared" si="793"/>
        <v>1817.6534653465346</v>
      </c>
      <c r="AG156" s="5">
        <v>1477.45</v>
      </c>
      <c r="AH156" s="49">
        <f t="shared" si="794"/>
        <v>10.706159420289856</v>
      </c>
      <c r="AI156" s="5">
        <v>8708</v>
      </c>
      <c r="AJ156" s="5">
        <v>13</v>
      </c>
      <c r="AK156" s="4">
        <v>34</v>
      </c>
      <c r="AL156" s="7">
        <v>31</v>
      </c>
      <c r="AM156" s="4">
        <v>2</v>
      </c>
      <c r="AN156" s="4">
        <v>1</v>
      </c>
      <c r="AO156" s="11">
        <f t="shared" si="795"/>
        <v>88.235294117647058</v>
      </c>
      <c r="AP156" s="50">
        <f t="shared" si="796"/>
        <v>0.22818791946308725</v>
      </c>
      <c r="AQ156" s="7">
        <v>149</v>
      </c>
      <c r="AR156" s="50">
        <f t="shared" si="797"/>
        <v>1</v>
      </c>
      <c r="AS156" s="4"/>
    </row>
    <row r="157" spans="1:45" ht="18" customHeight="1" x14ac:dyDescent="0.3">
      <c r="A157" s="4" t="s">
        <v>38</v>
      </c>
      <c r="B157" s="4" t="s">
        <v>98</v>
      </c>
      <c r="C157" s="4" t="s">
        <v>47</v>
      </c>
      <c r="D157" s="4" t="s">
        <v>107</v>
      </c>
      <c r="E157" s="4" t="s">
        <v>108</v>
      </c>
      <c r="F157" s="7" t="s">
        <v>48</v>
      </c>
      <c r="G157" s="4" t="s">
        <v>81</v>
      </c>
      <c r="H157" s="5">
        <v>136</v>
      </c>
      <c r="I157" s="5">
        <v>123</v>
      </c>
      <c r="J157" s="6">
        <f t="shared" si="784"/>
        <v>0.90441176470588236</v>
      </c>
      <c r="K157" s="5">
        <v>68</v>
      </c>
      <c r="L157" s="5">
        <v>28</v>
      </c>
      <c r="M157" s="5">
        <v>27</v>
      </c>
      <c r="N157" s="9">
        <v>6</v>
      </c>
      <c r="O157" s="46">
        <f t="shared" si="785"/>
        <v>4.878048780487805E-2</v>
      </c>
      <c r="P157" s="5">
        <v>8</v>
      </c>
      <c r="Q157" s="46">
        <f t="shared" ref="Q157" si="948">IFERROR(P157/$I157,"")</f>
        <v>6.5040650406504072E-2</v>
      </c>
      <c r="R157" s="5">
        <v>41</v>
      </c>
      <c r="S157" s="46">
        <f t="shared" ref="S157" si="949">IFERROR(R157/$I157,"")</f>
        <v>0.33333333333333331</v>
      </c>
      <c r="T157" s="5">
        <v>3</v>
      </c>
      <c r="U157" s="46">
        <f t="shared" ref="U157" si="950">IFERROR(T157/$I157,"")</f>
        <v>2.4390243902439025E-2</v>
      </c>
      <c r="V157" s="5">
        <v>21</v>
      </c>
      <c r="W157" s="46">
        <f t="shared" ref="W157" si="951">IFERROR(V157/$I157,"")</f>
        <v>0.17073170731707318</v>
      </c>
      <c r="X157" s="5">
        <v>27</v>
      </c>
      <c r="Y157" s="46">
        <f t="shared" ref="Y157" si="952">IFERROR(X157/$I157,"")</f>
        <v>0.21951219512195122</v>
      </c>
      <c r="Z157" s="5">
        <v>16</v>
      </c>
      <c r="AA157" s="46">
        <f t="shared" ref="AA157" si="953">IFERROR(Z157/$I157,"")</f>
        <v>0.13008130081300814</v>
      </c>
      <c r="AB157" s="5">
        <v>80</v>
      </c>
      <c r="AC157" s="46">
        <f t="shared" si="792"/>
        <v>0.58823529411764708</v>
      </c>
      <c r="AD157" s="5">
        <v>120</v>
      </c>
      <c r="AE157" s="5">
        <v>180007.84999999998</v>
      </c>
      <c r="AF157" s="5">
        <f t="shared" si="793"/>
        <v>2250.0981249999995</v>
      </c>
      <c r="AG157" s="5">
        <v>3085.02</v>
      </c>
      <c r="AH157" s="49">
        <f t="shared" si="794"/>
        <v>25.081463414634147</v>
      </c>
      <c r="AI157" s="5">
        <v>0</v>
      </c>
      <c r="AJ157" s="5">
        <v>9</v>
      </c>
      <c r="AK157" s="4">
        <v>22</v>
      </c>
      <c r="AL157" s="7">
        <v>21</v>
      </c>
      <c r="AM157" s="4">
        <v>0</v>
      </c>
      <c r="AN157" s="4">
        <v>1</v>
      </c>
      <c r="AO157" s="11">
        <f t="shared" si="795"/>
        <v>90.909090909090907</v>
      </c>
      <c r="AP157" s="50">
        <f t="shared" si="796"/>
        <v>0.16176470588235295</v>
      </c>
      <c r="AQ157" s="7">
        <v>136</v>
      </c>
      <c r="AR157" s="50">
        <f t="shared" si="797"/>
        <v>1</v>
      </c>
      <c r="AS157" s="4"/>
    </row>
    <row r="158" spans="1:45" ht="18" customHeight="1" x14ac:dyDescent="0.3">
      <c r="A158" s="4" t="s">
        <v>38</v>
      </c>
      <c r="B158" s="4" t="s">
        <v>98</v>
      </c>
      <c r="C158" s="4" t="s">
        <v>47</v>
      </c>
      <c r="D158" s="4" t="s">
        <v>111</v>
      </c>
      <c r="E158" s="4" t="s">
        <v>112</v>
      </c>
      <c r="F158" s="7" t="s">
        <v>48</v>
      </c>
      <c r="G158" s="4" t="s">
        <v>61</v>
      </c>
      <c r="H158" s="5">
        <v>149</v>
      </c>
      <c r="I158" s="5">
        <v>150</v>
      </c>
      <c r="J158" s="6">
        <f t="shared" si="784"/>
        <v>1.0067114093959733</v>
      </c>
      <c r="K158" s="5">
        <v>56</v>
      </c>
      <c r="L158" s="5">
        <v>30</v>
      </c>
      <c r="M158" s="5">
        <v>13</v>
      </c>
      <c r="N158" s="9">
        <v>6</v>
      </c>
      <c r="O158" s="46">
        <f t="shared" si="785"/>
        <v>0.04</v>
      </c>
      <c r="P158" s="5">
        <v>5</v>
      </c>
      <c r="Q158" s="46">
        <f t="shared" ref="Q158" si="954">IFERROR(P158/$I158,"")</f>
        <v>3.3333333333333333E-2</v>
      </c>
      <c r="R158" s="5">
        <v>73</v>
      </c>
      <c r="S158" s="46">
        <f t="shared" ref="S158" si="955">IFERROR(R158/$I158,"")</f>
        <v>0.48666666666666669</v>
      </c>
      <c r="T158" s="5">
        <v>1</v>
      </c>
      <c r="U158" s="46">
        <f t="shared" ref="U158" si="956">IFERROR(T158/$I158,"")</f>
        <v>6.6666666666666671E-3</v>
      </c>
      <c r="V158" s="5">
        <v>21</v>
      </c>
      <c r="W158" s="46">
        <f t="shared" ref="W158" si="957">IFERROR(V158/$I158,"")</f>
        <v>0.14000000000000001</v>
      </c>
      <c r="X158" s="5">
        <v>31</v>
      </c>
      <c r="Y158" s="46">
        <f t="shared" ref="Y158" si="958">IFERROR(X158/$I158,"")</f>
        <v>0.20666666666666667</v>
      </c>
      <c r="Z158" s="5">
        <v>15</v>
      </c>
      <c r="AA158" s="46">
        <f t="shared" ref="AA158" si="959">IFERROR(Z158/$I158,"")</f>
        <v>0.1</v>
      </c>
      <c r="AB158" s="5">
        <v>91</v>
      </c>
      <c r="AC158" s="46">
        <f t="shared" si="792"/>
        <v>0.61073825503355705</v>
      </c>
      <c r="AD158" s="5">
        <v>120</v>
      </c>
      <c r="AE158" s="5">
        <v>184677</v>
      </c>
      <c r="AF158" s="5">
        <f t="shared" si="793"/>
        <v>2029.4175824175825</v>
      </c>
      <c r="AG158" s="5">
        <v>1088.99</v>
      </c>
      <c r="AH158" s="49">
        <f t="shared" si="794"/>
        <v>7.2599333333333336</v>
      </c>
      <c r="AI158" s="5">
        <v>6113</v>
      </c>
      <c r="AJ158" s="5">
        <v>11</v>
      </c>
      <c r="AK158" s="4">
        <v>25</v>
      </c>
      <c r="AL158" s="7">
        <v>22</v>
      </c>
      <c r="AM158" s="4">
        <v>2</v>
      </c>
      <c r="AN158" s="4">
        <v>1</v>
      </c>
      <c r="AO158" s="11">
        <f t="shared" si="795"/>
        <v>84</v>
      </c>
      <c r="AP158" s="50">
        <f t="shared" si="796"/>
        <v>0.16778523489932887</v>
      </c>
      <c r="AQ158" s="7">
        <v>149</v>
      </c>
      <c r="AR158" s="50">
        <f t="shared" si="797"/>
        <v>1</v>
      </c>
      <c r="AS158" s="4"/>
    </row>
    <row r="159" spans="1:45" ht="18" customHeight="1" x14ac:dyDescent="0.3">
      <c r="A159" s="4" t="s">
        <v>38</v>
      </c>
      <c r="B159" s="4" t="s">
        <v>98</v>
      </c>
      <c r="C159" s="4" t="s">
        <v>47</v>
      </c>
      <c r="D159" s="4" t="s">
        <v>113</v>
      </c>
      <c r="E159" s="4" t="s">
        <v>114</v>
      </c>
      <c r="F159" s="7" t="s">
        <v>48</v>
      </c>
      <c r="G159" s="4" t="s">
        <v>61</v>
      </c>
      <c r="H159" s="5">
        <v>131</v>
      </c>
      <c r="I159" s="5">
        <v>129</v>
      </c>
      <c r="J159" s="6">
        <f t="shared" si="784"/>
        <v>0.98473282442748089</v>
      </c>
      <c r="K159" s="5">
        <v>58</v>
      </c>
      <c r="L159" s="5">
        <v>29</v>
      </c>
      <c r="M159" s="5">
        <v>24</v>
      </c>
      <c r="N159" s="9">
        <v>10</v>
      </c>
      <c r="O159" s="46">
        <f t="shared" si="785"/>
        <v>7.7519379844961239E-2</v>
      </c>
      <c r="P159" s="5">
        <v>3</v>
      </c>
      <c r="Q159" s="46">
        <f t="shared" ref="Q159" si="960">IFERROR(P159/$I159,"")</f>
        <v>2.3255813953488372E-2</v>
      </c>
      <c r="R159" s="5">
        <v>47</v>
      </c>
      <c r="S159" s="46">
        <f t="shared" ref="S159" si="961">IFERROR(R159/$I159,"")</f>
        <v>0.36434108527131781</v>
      </c>
      <c r="T159" s="5">
        <v>0</v>
      </c>
      <c r="U159" s="46">
        <f t="shared" ref="U159" si="962">IFERROR(T159/$I159,"")</f>
        <v>0</v>
      </c>
      <c r="V159" s="5">
        <v>12</v>
      </c>
      <c r="W159" s="46">
        <f t="shared" ref="W159" si="963">IFERROR(V159/$I159,"")</f>
        <v>9.3023255813953487E-2</v>
      </c>
      <c r="X159" s="5">
        <v>10</v>
      </c>
      <c r="Y159" s="46">
        <f t="shared" ref="Y159" si="964">IFERROR(X159/$I159,"")</f>
        <v>7.7519379844961239E-2</v>
      </c>
      <c r="Z159" s="5">
        <v>17</v>
      </c>
      <c r="AA159" s="46">
        <f t="shared" ref="AA159" si="965">IFERROR(Z159/$I159,"")</f>
        <v>0.13178294573643412</v>
      </c>
      <c r="AB159" s="5">
        <v>86</v>
      </c>
      <c r="AC159" s="46">
        <f t="shared" si="792"/>
        <v>0.65648854961832059</v>
      </c>
      <c r="AD159" s="5">
        <v>98</v>
      </c>
      <c r="AE159" s="5">
        <v>96346</v>
      </c>
      <c r="AF159" s="5">
        <f t="shared" si="793"/>
        <v>1120.3023255813953</v>
      </c>
      <c r="AG159" s="5">
        <v>758.5</v>
      </c>
      <c r="AH159" s="49">
        <f t="shared" si="794"/>
        <v>5.8798449612403099</v>
      </c>
      <c r="AI159" s="5">
        <v>9837</v>
      </c>
      <c r="AJ159" s="5">
        <v>12</v>
      </c>
      <c r="AK159" s="4">
        <v>12</v>
      </c>
      <c r="AL159" s="7">
        <v>10</v>
      </c>
      <c r="AM159" s="4">
        <v>1</v>
      </c>
      <c r="AN159" s="4">
        <v>1</v>
      </c>
      <c r="AO159" s="11">
        <f t="shared" si="795"/>
        <v>75</v>
      </c>
      <c r="AP159" s="50">
        <f t="shared" si="796"/>
        <v>9.1603053435114504E-2</v>
      </c>
      <c r="AQ159" s="7">
        <v>131</v>
      </c>
      <c r="AR159" s="50">
        <f t="shared" si="797"/>
        <v>1</v>
      </c>
      <c r="AS159" s="4"/>
    </row>
    <row r="160" spans="1:45" ht="18" customHeight="1" x14ac:dyDescent="0.3">
      <c r="A160" s="4" t="s">
        <v>38</v>
      </c>
      <c r="B160" s="4" t="s">
        <v>98</v>
      </c>
      <c r="C160" s="4" t="s">
        <v>47</v>
      </c>
      <c r="D160" s="4"/>
      <c r="E160" s="4" t="s">
        <v>148</v>
      </c>
      <c r="F160" s="7" t="s">
        <v>48</v>
      </c>
      <c r="G160" s="4" t="s">
        <v>61</v>
      </c>
      <c r="H160" s="5">
        <v>76</v>
      </c>
      <c r="I160" s="5">
        <v>88</v>
      </c>
      <c r="J160" s="6">
        <f t="shared" si="784"/>
        <v>1.1578947368421053</v>
      </c>
      <c r="K160" s="5">
        <v>32</v>
      </c>
      <c r="L160" s="5">
        <v>14</v>
      </c>
      <c r="M160" s="5">
        <v>9</v>
      </c>
      <c r="N160" s="9">
        <v>14</v>
      </c>
      <c r="O160" s="46">
        <f t="shared" si="785"/>
        <v>0.15909090909090909</v>
      </c>
      <c r="P160" s="5">
        <v>0</v>
      </c>
      <c r="Q160" s="46">
        <f t="shared" ref="Q160" si="966">IFERROR(P160/$I160,"")</f>
        <v>0</v>
      </c>
      <c r="R160" s="5">
        <v>23</v>
      </c>
      <c r="S160" s="46">
        <f t="shared" ref="S160" si="967">IFERROR(R160/$I160,"")</f>
        <v>0.26136363636363635</v>
      </c>
      <c r="T160" s="5">
        <v>2</v>
      </c>
      <c r="U160" s="46">
        <f t="shared" ref="U160" si="968">IFERROR(T160/$I160,"")</f>
        <v>2.2727272727272728E-2</v>
      </c>
      <c r="V160" s="5">
        <v>7</v>
      </c>
      <c r="W160" s="46">
        <f t="shared" ref="W160" si="969">IFERROR(V160/$I160,"")</f>
        <v>7.9545454545454544E-2</v>
      </c>
      <c r="X160" s="5">
        <v>18</v>
      </c>
      <c r="Y160" s="46">
        <f t="shared" ref="Y160" si="970">IFERROR(X160/$I160,"")</f>
        <v>0.20454545454545456</v>
      </c>
      <c r="Z160" s="5">
        <v>17</v>
      </c>
      <c r="AA160" s="46">
        <f t="shared" ref="AA160" si="971">IFERROR(Z160/$I160,"")</f>
        <v>0.19318181818181818</v>
      </c>
      <c r="AB160" s="5">
        <v>40</v>
      </c>
      <c r="AC160" s="46">
        <f t="shared" si="792"/>
        <v>0.52631578947368418</v>
      </c>
      <c r="AD160" s="5">
        <v>63</v>
      </c>
      <c r="AE160" s="5">
        <v>84974</v>
      </c>
      <c r="AF160" s="5">
        <f t="shared" si="793"/>
        <v>2124.35</v>
      </c>
      <c r="AG160" s="5">
        <v>0</v>
      </c>
      <c r="AH160" s="49">
        <f t="shared" si="794"/>
        <v>0</v>
      </c>
      <c r="AI160" s="5">
        <v>2995</v>
      </c>
      <c r="AJ160" s="5">
        <v>13</v>
      </c>
      <c r="AK160" s="4">
        <v>6</v>
      </c>
      <c r="AL160" s="7">
        <v>5</v>
      </c>
      <c r="AM160" s="4">
        <v>0</v>
      </c>
      <c r="AN160" s="4">
        <v>1</v>
      </c>
      <c r="AO160" s="11">
        <f t="shared" si="795"/>
        <v>66.666666666666657</v>
      </c>
      <c r="AP160" s="50">
        <f t="shared" si="796"/>
        <v>7.8947368421052627E-2</v>
      </c>
      <c r="AQ160" s="7">
        <v>76</v>
      </c>
      <c r="AR160" s="50">
        <f t="shared" si="797"/>
        <v>1</v>
      </c>
      <c r="AS160" s="4"/>
    </row>
    <row r="161" spans="1:45" ht="18" customHeight="1" x14ac:dyDescent="0.3">
      <c r="A161" s="4" t="s">
        <v>38</v>
      </c>
      <c r="B161" s="4" t="s">
        <v>115</v>
      </c>
      <c r="C161" s="4" t="s">
        <v>47</v>
      </c>
      <c r="D161" s="4" t="s">
        <v>109</v>
      </c>
      <c r="E161" s="4" t="s">
        <v>110</v>
      </c>
      <c r="F161" s="7" t="s">
        <v>48</v>
      </c>
      <c r="G161" s="4" t="s">
        <v>88</v>
      </c>
      <c r="H161" s="5">
        <v>159</v>
      </c>
      <c r="I161" s="5">
        <v>161</v>
      </c>
      <c r="J161" s="6">
        <f t="shared" si="784"/>
        <v>1.0125786163522013</v>
      </c>
      <c r="K161" s="5">
        <v>43</v>
      </c>
      <c r="L161" s="5">
        <v>24</v>
      </c>
      <c r="M161" s="5">
        <v>19</v>
      </c>
      <c r="N161" s="9">
        <v>15</v>
      </c>
      <c r="O161" s="46">
        <f t="shared" si="785"/>
        <v>9.3167701863354033E-2</v>
      </c>
      <c r="P161" s="5">
        <v>10</v>
      </c>
      <c r="Q161" s="46">
        <f t="shared" ref="Q161" si="972">IFERROR(P161/$I161,"")</f>
        <v>6.2111801242236024E-2</v>
      </c>
      <c r="R161" s="5">
        <v>69</v>
      </c>
      <c r="S161" s="46">
        <f t="shared" ref="S161" si="973">IFERROR(R161/$I161,"")</f>
        <v>0.42857142857142855</v>
      </c>
      <c r="T161" s="5">
        <v>0</v>
      </c>
      <c r="U161" s="46">
        <f t="shared" ref="U161" si="974">IFERROR(T161/$I161,"")</f>
        <v>0</v>
      </c>
      <c r="V161" s="5">
        <v>18</v>
      </c>
      <c r="W161" s="46">
        <f t="shared" ref="W161" si="975">IFERROR(V161/$I161,"")</f>
        <v>0.11180124223602485</v>
      </c>
      <c r="X161" s="5">
        <v>15</v>
      </c>
      <c r="Y161" s="46">
        <f t="shared" ref="Y161" si="976">IFERROR(X161/$I161,"")</f>
        <v>9.3167701863354033E-2</v>
      </c>
      <c r="Z161" s="5">
        <v>5</v>
      </c>
      <c r="AA161" s="46">
        <f t="shared" ref="AA161" si="977">IFERROR(Z161/$I161,"")</f>
        <v>3.1055900621118012E-2</v>
      </c>
      <c r="AB161" s="5">
        <v>32</v>
      </c>
      <c r="AC161" s="46">
        <f t="shared" si="792"/>
        <v>0.20125786163522014</v>
      </c>
      <c r="AD161" s="5">
        <v>35</v>
      </c>
      <c r="AE161" s="5">
        <v>56763</v>
      </c>
      <c r="AF161" s="5">
        <f t="shared" si="793"/>
        <v>1773.84375</v>
      </c>
      <c r="AG161" s="5">
        <v>1142.8599999999999</v>
      </c>
      <c r="AH161" s="49">
        <f t="shared" si="794"/>
        <v>7.098509316770186</v>
      </c>
      <c r="AI161" s="5">
        <v>9668</v>
      </c>
      <c r="AJ161" s="5">
        <v>16</v>
      </c>
      <c r="AK161" s="4">
        <v>42</v>
      </c>
      <c r="AL161" s="7">
        <v>35</v>
      </c>
      <c r="AM161" s="4">
        <v>3</v>
      </c>
      <c r="AN161" s="4">
        <v>4</v>
      </c>
      <c r="AO161" s="11">
        <f t="shared" si="795"/>
        <v>73.80952380952381</v>
      </c>
      <c r="AP161" s="50">
        <f t="shared" si="796"/>
        <v>0.26415094339622641</v>
      </c>
      <c r="AQ161" s="7">
        <v>159</v>
      </c>
      <c r="AR161" s="50">
        <f t="shared" si="797"/>
        <v>1</v>
      </c>
      <c r="AS161" s="4"/>
    </row>
    <row r="162" spans="1:45" ht="18" customHeight="1" x14ac:dyDescent="0.3">
      <c r="A162" s="4" t="s">
        <v>38</v>
      </c>
      <c r="B162" s="4" t="s">
        <v>118</v>
      </c>
      <c r="C162" s="4" t="s">
        <v>47</v>
      </c>
      <c r="D162" s="4" t="s">
        <v>119</v>
      </c>
      <c r="E162" s="4" t="s">
        <v>120</v>
      </c>
      <c r="F162" s="7" t="s">
        <v>48</v>
      </c>
      <c r="G162" s="4" t="s">
        <v>72</v>
      </c>
      <c r="H162" s="5">
        <v>97</v>
      </c>
      <c r="I162" s="5">
        <v>115</v>
      </c>
      <c r="J162" s="6">
        <f t="shared" si="784"/>
        <v>1.1855670103092784</v>
      </c>
      <c r="K162" s="5">
        <v>18</v>
      </c>
      <c r="L162" s="5">
        <v>7</v>
      </c>
      <c r="M162" s="5">
        <v>2</v>
      </c>
      <c r="N162" s="9">
        <v>4</v>
      </c>
      <c r="O162" s="46">
        <f t="shared" si="785"/>
        <v>3.4782608695652174E-2</v>
      </c>
      <c r="P162" s="5">
        <v>3</v>
      </c>
      <c r="Q162" s="46">
        <f t="shared" ref="Q162" si="978">IFERROR(P162/$I162,"")</f>
        <v>2.6086956521739129E-2</v>
      </c>
      <c r="R162" s="5">
        <v>40</v>
      </c>
      <c r="S162" s="46">
        <f t="shared" ref="S162" si="979">IFERROR(R162/$I162,"")</f>
        <v>0.34782608695652173</v>
      </c>
      <c r="T162" s="5">
        <v>0</v>
      </c>
      <c r="U162" s="46">
        <f t="shared" ref="U162" si="980">IFERROR(T162/$I162,"")</f>
        <v>0</v>
      </c>
      <c r="V162" s="5">
        <v>5</v>
      </c>
      <c r="W162" s="46">
        <f t="shared" ref="W162" si="981">IFERROR(V162/$I162,"")</f>
        <v>4.3478260869565216E-2</v>
      </c>
      <c r="X162" s="5">
        <v>5</v>
      </c>
      <c r="Y162" s="46">
        <f t="shared" ref="Y162" si="982">IFERROR(X162/$I162,"")</f>
        <v>4.3478260869565216E-2</v>
      </c>
      <c r="Z162" s="5">
        <v>3</v>
      </c>
      <c r="AA162" s="46">
        <f t="shared" ref="AA162" si="983">IFERROR(Z162/$I162,"")</f>
        <v>2.6086956521739129E-2</v>
      </c>
      <c r="AB162" s="5">
        <v>17</v>
      </c>
      <c r="AC162" s="46">
        <f t="shared" si="792"/>
        <v>0.17525773195876287</v>
      </c>
      <c r="AD162" s="5">
        <v>17</v>
      </c>
      <c r="AE162" s="5">
        <v>17851</v>
      </c>
      <c r="AF162" s="5">
        <f t="shared" si="793"/>
        <v>1050.0588235294117</v>
      </c>
      <c r="AG162" s="5">
        <v>0</v>
      </c>
      <c r="AH162" s="49">
        <f t="shared" si="794"/>
        <v>0</v>
      </c>
      <c r="AI162" s="5">
        <v>3170</v>
      </c>
      <c r="AJ162" s="5">
        <v>0</v>
      </c>
      <c r="AK162" s="4">
        <v>26</v>
      </c>
      <c r="AL162" s="7">
        <v>25</v>
      </c>
      <c r="AM162" s="4">
        <v>1</v>
      </c>
      <c r="AN162" s="4">
        <v>0</v>
      </c>
      <c r="AO162" s="11">
        <f t="shared" si="795"/>
        <v>96.15384615384616</v>
      </c>
      <c r="AP162" s="50">
        <f t="shared" si="796"/>
        <v>0.26804123711340205</v>
      </c>
      <c r="AQ162" s="7">
        <v>97</v>
      </c>
      <c r="AR162" s="50">
        <f t="shared" si="797"/>
        <v>1</v>
      </c>
      <c r="AS162" s="4"/>
    </row>
    <row r="163" spans="1:45" ht="18" customHeight="1" x14ac:dyDescent="0.3">
      <c r="A163" s="4" t="s">
        <v>38</v>
      </c>
      <c r="B163" s="4" t="s">
        <v>121</v>
      </c>
      <c r="C163" s="4" t="s">
        <v>47</v>
      </c>
      <c r="D163" s="4" t="s">
        <v>122</v>
      </c>
      <c r="E163" s="4" t="s">
        <v>123</v>
      </c>
      <c r="F163" s="7" t="s">
        <v>48</v>
      </c>
      <c r="G163" s="4" t="s">
        <v>49</v>
      </c>
      <c r="H163" s="5">
        <v>205</v>
      </c>
      <c r="I163" s="5">
        <v>188</v>
      </c>
      <c r="J163" s="6">
        <f t="shared" si="784"/>
        <v>0.91707317073170735</v>
      </c>
      <c r="K163" s="5">
        <v>111</v>
      </c>
      <c r="L163" s="5">
        <v>49</v>
      </c>
      <c r="M163" s="5">
        <v>35</v>
      </c>
      <c r="N163" s="9">
        <v>32</v>
      </c>
      <c r="O163" s="46">
        <f t="shared" si="785"/>
        <v>0.1702127659574468</v>
      </c>
      <c r="P163" s="5">
        <v>14</v>
      </c>
      <c r="Q163" s="46">
        <f t="shared" ref="Q163" si="984">IFERROR(P163/$I163,"")</f>
        <v>7.4468085106382975E-2</v>
      </c>
      <c r="R163" s="5">
        <v>96</v>
      </c>
      <c r="S163" s="46">
        <f t="shared" ref="S163" si="985">IFERROR(R163/$I163,"")</f>
        <v>0.51063829787234039</v>
      </c>
      <c r="T163" s="5">
        <v>2</v>
      </c>
      <c r="U163" s="46">
        <f t="shared" ref="U163" si="986">IFERROR(T163/$I163,"")</f>
        <v>1.0638297872340425E-2</v>
      </c>
      <c r="V163" s="5">
        <v>51</v>
      </c>
      <c r="W163" s="46">
        <f t="shared" ref="W163" si="987">IFERROR(V163/$I163,"")</f>
        <v>0.27127659574468083</v>
      </c>
      <c r="X163" s="5">
        <v>63</v>
      </c>
      <c r="Y163" s="46">
        <f t="shared" ref="Y163" si="988">IFERROR(X163/$I163,"")</f>
        <v>0.33510638297872342</v>
      </c>
      <c r="Z163" s="5">
        <v>51</v>
      </c>
      <c r="AA163" s="46">
        <f t="shared" ref="AA163" si="989">IFERROR(Z163/$I163,"")</f>
        <v>0.27127659574468083</v>
      </c>
      <c r="AB163" s="5">
        <v>165</v>
      </c>
      <c r="AC163" s="46">
        <f t="shared" si="792"/>
        <v>0.80487804878048785</v>
      </c>
      <c r="AD163" s="5">
        <v>272</v>
      </c>
      <c r="AE163" s="5">
        <v>484887</v>
      </c>
      <c r="AF163" s="5">
        <f t="shared" si="793"/>
        <v>2938.7090909090907</v>
      </c>
      <c r="AG163" s="5">
        <v>9608.4600000000009</v>
      </c>
      <c r="AH163" s="49">
        <f t="shared" si="794"/>
        <v>51.10882978723405</v>
      </c>
      <c r="AI163" s="5">
        <v>14559</v>
      </c>
      <c r="AJ163" s="5">
        <v>45</v>
      </c>
      <c r="AK163" s="4">
        <v>51</v>
      </c>
      <c r="AL163" s="7">
        <v>45</v>
      </c>
      <c r="AM163" s="4">
        <v>2</v>
      </c>
      <c r="AN163" s="4">
        <v>4</v>
      </c>
      <c r="AO163" s="11">
        <f t="shared" si="795"/>
        <v>80.392156862745097</v>
      </c>
      <c r="AP163" s="50">
        <f t="shared" si="796"/>
        <v>0.24878048780487805</v>
      </c>
      <c r="AQ163" s="7">
        <v>205</v>
      </c>
      <c r="AR163" s="50">
        <f t="shared" si="797"/>
        <v>1</v>
      </c>
      <c r="AS163" s="4"/>
    </row>
    <row r="164" spans="1:45" ht="18" customHeight="1" x14ac:dyDescent="0.3">
      <c r="A164" s="4" t="s">
        <v>38</v>
      </c>
      <c r="B164" s="4" t="s">
        <v>121</v>
      </c>
      <c r="C164" s="4" t="s">
        <v>47</v>
      </c>
      <c r="D164" s="4" t="s">
        <v>124</v>
      </c>
      <c r="E164" s="4" t="s">
        <v>125</v>
      </c>
      <c r="F164" s="7" t="s">
        <v>48</v>
      </c>
      <c r="G164" s="4" t="s">
        <v>81</v>
      </c>
      <c r="H164" s="5">
        <v>201</v>
      </c>
      <c r="I164" s="5">
        <v>190</v>
      </c>
      <c r="J164" s="6">
        <f t="shared" si="784"/>
        <v>0.94527363184079605</v>
      </c>
      <c r="K164" s="5">
        <v>82</v>
      </c>
      <c r="L164" s="5">
        <v>38</v>
      </c>
      <c r="M164" s="5">
        <v>20</v>
      </c>
      <c r="N164" s="9">
        <v>16</v>
      </c>
      <c r="O164" s="46">
        <f t="shared" si="785"/>
        <v>8.4210526315789472E-2</v>
      </c>
      <c r="P164" s="5">
        <v>8</v>
      </c>
      <c r="Q164" s="46">
        <f t="shared" ref="Q164" si="990">IFERROR(P164/$I164,"")</f>
        <v>4.2105263157894736E-2</v>
      </c>
      <c r="R164" s="5">
        <v>104</v>
      </c>
      <c r="S164" s="46">
        <f t="shared" ref="S164" si="991">IFERROR(R164/$I164,"")</f>
        <v>0.54736842105263162</v>
      </c>
      <c r="T164" s="5">
        <v>4</v>
      </c>
      <c r="U164" s="46">
        <f t="shared" ref="U164" si="992">IFERROR(T164/$I164,"")</f>
        <v>2.1052631578947368E-2</v>
      </c>
      <c r="V164" s="5">
        <v>27</v>
      </c>
      <c r="W164" s="46">
        <f t="shared" ref="W164" si="993">IFERROR(V164/$I164,"")</f>
        <v>0.14210526315789473</v>
      </c>
      <c r="X164" s="5">
        <v>32</v>
      </c>
      <c r="Y164" s="46">
        <f t="shared" ref="Y164" si="994">IFERROR(X164/$I164,"")</f>
        <v>0.16842105263157894</v>
      </c>
      <c r="Z164" s="5">
        <v>55</v>
      </c>
      <c r="AA164" s="46">
        <f t="shared" ref="AA164" si="995">IFERROR(Z164/$I164,"")</f>
        <v>0.28947368421052633</v>
      </c>
      <c r="AB164" s="5">
        <v>149</v>
      </c>
      <c r="AC164" s="46">
        <f t="shared" si="792"/>
        <v>0.74129353233830841</v>
      </c>
      <c r="AD164" s="5">
        <v>205</v>
      </c>
      <c r="AE164" s="5">
        <v>334256</v>
      </c>
      <c r="AF164" s="5">
        <f t="shared" si="793"/>
        <v>2243.3288590604025</v>
      </c>
      <c r="AG164" s="5">
        <v>3190.41</v>
      </c>
      <c r="AH164" s="49">
        <f t="shared" si="794"/>
        <v>16.791631578947367</v>
      </c>
      <c r="AI164" s="5">
        <v>8936</v>
      </c>
      <c r="AJ164" s="5">
        <v>18</v>
      </c>
      <c r="AK164" s="4">
        <v>36</v>
      </c>
      <c r="AL164" s="7">
        <v>34</v>
      </c>
      <c r="AM164" s="4">
        <v>1</v>
      </c>
      <c r="AN164" s="4">
        <v>1</v>
      </c>
      <c r="AO164" s="11">
        <f t="shared" si="795"/>
        <v>91.666666666666657</v>
      </c>
      <c r="AP164" s="50">
        <f t="shared" si="796"/>
        <v>0.17910447761194029</v>
      </c>
      <c r="AQ164" s="7">
        <v>201</v>
      </c>
      <c r="AR164" s="50">
        <f t="shared" si="797"/>
        <v>1</v>
      </c>
      <c r="AS164" s="4"/>
    </row>
    <row r="165" spans="1:45" ht="18" customHeight="1" x14ac:dyDescent="0.3">
      <c r="A165" s="4" t="s">
        <v>38</v>
      </c>
      <c r="B165" s="4" t="s">
        <v>121</v>
      </c>
      <c r="C165" s="4" t="s">
        <v>47</v>
      </c>
      <c r="D165" s="4" t="s">
        <v>126</v>
      </c>
      <c r="E165" s="4" t="s">
        <v>127</v>
      </c>
      <c r="F165" s="7" t="s">
        <v>48</v>
      </c>
      <c r="G165" s="4" t="s">
        <v>61</v>
      </c>
      <c r="H165" s="5">
        <v>184</v>
      </c>
      <c r="I165" s="5">
        <v>157</v>
      </c>
      <c r="J165" s="6">
        <f t="shared" si="784"/>
        <v>0.85326086956521741</v>
      </c>
      <c r="K165" s="5">
        <v>93</v>
      </c>
      <c r="L165" s="5">
        <v>46</v>
      </c>
      <c r="M165" s="5">
        <v>28</v>
      </c>
      <c r="N165" s="9">
        <v>22</v>
      </c>
      <c r="O165" s="46">
        <f t="shared" si="785"/>
        <v>0.14012738853503184</v>
      </c>
      <c r="P165" s="5">
        <v>8</v>
      </c>
      <c r="Q165" s="46">
        <f t="shared" ref="Q165" si="996">IFERROR(P165/$I165,"")</f>
        <v>5.0955414012738856E-2</v>
      </c>
      <c r="R165" s="5">
        <v>83</v>
      </c>
      <c r="S165" s="46">
        <f t="shared" ref="S165" si="997">IFERROR(R165/$I165,"")</f>
        <v>0.5286624203821656</v>
      </c>
      <c r="T165" s="5">
        <v>2</v>
      </c>
      <c r="U165" s="46">
        <f t="shared" ref="U165" si="998">IFERROR(T165/$I165,"")</f>
        <v>1.2738853503184714E-2</v>
      </c>
      <c r="V165" s="5">
        <v>40</v>
      </c>
      <c r="W165" s="46">
        <f t="shared" ref="W165" si="999">IFERROR(V165/$I165,"")</f>
        <v>0.25477707006369427</v>
      </c>
      <c r="X165" s="5">
        <v>41</v>
      </c>
      <c r="Y165" s="46">
        <f t="shared" ref="Y165" si="1000">IFERROR(X165/$I165,"")</f>
        <v>0.26114649681528662</v>
      </c>
      <c r="Z165" s="5">
        <v>51</v>
      </c>
      <c r="AA165" s="46">
        <f t="shared" ref="AA165" si="1001">IFERROR(Z165/$I165,"")</f>
        <v>0.32484076433121017</v>
      </c>
      <c r="AB165" s="5">
        <v>130</v>
      </c>
      <c r="AC165" s="46">
        <f t="shared" si="792"/>
        <v>0.70652173913043481</v>
      </c>
      <c r="AD165" s="5">
        <v>188</v>
      </c>
      <c r="AE165" s="5">
        <v>287361</v>
      </c>
      <c r="AF165" s="5">
        <f t="shared" si="793"/>
        <v>2210.4692307692308</v>
      </c>
      <c r="AG165" s="5">
        <v>1290.68</v>
      </c>
      <c r="AH165" s="49">
        <f t="shared" si="794"/>
        <v>8.2208917197452234</v>
      </c>
      <c r="AI165" s="5">
        <v>6127</v>
      </c>
      <c r="AJ165" s="5">
        <v>40</v>
      </c>
      <c r="AK165" s="4">
        <v>33</v>
      </c>
      <c r="AL165" s="7">
        <v>25</v>
      </c>
      <c r="AM165" s="4">
        <v>5</v>
      </c>
      <c r="AN165" s="4">
        <v>3</v>
      </c>
      <c r="AO165" s="11">
        <f t="shared" si="795"/>
        <v>66.666666666666657</v>
      </c>
      <c r="AP165" s="50">
        <f t="shared" si="796"/>
        <v>0.17934782608695651</v>
      </c>
      <c r="AQ165" s="7">
        <v>184</v>
      </c>
      <c r="AR165" s="50">
        <f t="shared" si="797"/>
        <v>1</v>
      </c>
      <c r="AS165" s="4"/>
    </row>
    <row r="166" spans="1:45" ht="18" customHeight="1" x14ac:dyDescent="0.3">
      <c r="A166" s="4" t="s">
        <v>38</v>
      </c>
      <c r="B166" s="4" t="s">
        <v>121</v>
      </c>
      <c r="C166" s="4" t="s">
        <v>47</v>
      </c>
      <c r="D166" s="4" t="s">
        <v>128</v>
      </c>
      <c r="E166" s="4" t="s">
        <v>129</v>
      </c>
      <c r="F166" s="7" t="s">
        <v>48</v>
      </c>
      <c r="G166" s="4" t="s">
        <v>57</v>
      </c>
      <c r="H166" s="5">
        <v>209</v>
      </c>
      <c r="I166" s="5">
        <v>172</v>
      </c>
      <c r="J166" s="6">
        <f t="shared" si="784"/>
        <v>0.82296650717703346</v>
      </c>
      <c r="K166" s="5">
        <v>104</v>
      </c>
      <c r="L166" s="5">
        <v>61</v>
      </c>
      <c r="M166" s="5">
        <v>41</v>
      </c>
      <c r="N166" s="9">
        <v>32</v>
      </c>
      <c r="O166" s="46">
        <f t="shared" si="785"/>
        <v>0.18604651162790697</v>
      </c>
      <c r="P166" s="5">
        <v>11</v>
      </c>
      <c r="Q166" s="46">
        <f t="shared" ref="Q166" si="1002">IFERROR(P166/$I166,"")</f>
        <v>6.3953488372093026E-2</v>
      </c>
      <c r="R166" s="5">
        <v>83</v>
      </c>
      <c r="S166" s="46">
        <f t="shared" ref="S166" si="1003">IFERROR(R166/$I166,"")</f>
        <v>0.48255813953488375</v>
      </c>
      <c r="T166" s="5">
        <v>2</v>
      </c>
      <c r="U166" s="46">
        <f t="shared" ref="U166" si="1004">IFERROR(T166/$I166,"")</f>
        <v>1.1627906976744186E-2</v>
      </c>
      <c r="V166" s="5">
        <v>35</v>
      </c>
      <c r="W166" s="46">
        <f t="shared" ref="W166" si="1005">IFERROR(V166/$I166,"")</f>
        <v>0.20348837209302326</v>
      </c>
      <c r="X166" s="5">
        <v>33</v>
      </c>
      <c r="Y166" s="46">
        <f t="shared" ref="Y166" si="1006">IFERROR(X166/$I166,"")</f>
        <v>0.19186046511627908</v>
      </c>
      <c r="Z166" s="5">
        <v>27</v>
      </c>
      <c r="AA166" s="46">
        <f t="shared" ref="AA166" si="1007">IFERROR(Z166/$I166,"")</f>
        <v>0.15697674418604651</v>
      </c>
      <c r="AB166" s="5">
        <v>158</v>
      </c>
      <c r="AC166" s="46">
        <f t="shared" si="792"/>
        <v>0.75598086124401909</v>
      </c>
      <c r="AD166" s="5">
        <v>191</v>
      </c>
      <c r="AE166" s="5">
        <v>274987</v>
      </c>
      <c r="AF166" s="5">
        <f t="shared" si="793"/>
        <v>1740.4240506329113</v>
      </c>
      <c r="AG166" s="5">
        <v>1737.08</v>
      </c>
      <c r="AH166" s="49">
        <f t="shared" si="794"/>
        <v>10.099302325581395</v>
      </c>
      <c r="AI166" s="5">
        <v>29810</v>
      </c>
      <c r="AJ166" s="5">
        <v>33</v>
      </c>
      <c r="AK166" s="4">
        <v>30</v>
      </c>
      <c r="AL166" s="7">
        <v>30</v>
      </c>
      <c r="AM166" s="4">
        <v>0</v>
      </c>
      <c r="AN166" s="4">
        <v>0</v>
      </c>
      <c r="AO166" s="11">
        <f t="shared" si="795"/>
        <v>100</v>
      </c>
      <c r="AP166" s="50">
        <f t="shared" si="796"/>
        <v>0.14354066985645933</v>
      </c>
      <c r="AQ166" s="7">
        <v>209</v>
      </c>
      <c r="AR166" s="50">
        <f t="shared" si="797"/>
        <v>1</v>
      </c>
      <c r="AS166" s="4"/>
    </row>
    <row r="167" spans="1:45" ht="18" customHeight="1" x14ac:dyDescent="0.3">
      <c r="A167" s="4" t="s">
        <v>38</v>
      </c>
      <c r="B167" s="4" t="s">
        <v>121</v>
      </c>
      <c r="C167" s="4" t="s">
        <v>47</v>
      </c>
      <c r="D167" s="4" t="s">
        <v>130</v>
      </c>
      <c r="E167" s="4" t="s">
        <v>131</v>
      </c>
      <c r="F167" s="7" t="s">
        <v>48</v>
      </c>
      <c r="G167" s="4" t="s">
        <v>88</v>
      </c>
      <c r="H167" s="5">
        <v>207</v>
      </c>
      <c r="I167" s="5">
        <v>179</v>
      </c>
      <c r="J167" s="6">
        <f t="shared" si="784"/>
        <v>0.86473429951690817</v>
      </c>
      <c r="K167" s="5">
        <v>105</v>
      </c>
      <c r="L167" s="5">
        <v>52</v>
      </c>
      <c r="M167" s="5">
        <v>27</v>
      </c>
      <c r="N167" s="9">
        <v>20</v>
      </c>
      <c r="O167" s="46">
        <f t="shared" si="785"/>
        <v>0.11173184357541899</v>
      </c>
      <c r="P167" s="5">
        <v>10</v>
      </c>
      <c r="Q167" s="46">
        <f t="shared" ref="Q167" si="1008">IFERROR(P167/$I167,"")</f>
        <v>5.5865921787709494E-2</v>
      </c>
      <c r="R167" s="5">
        <v>99</v>
      </c>
      <c r="S167" s="46">
        <f t="shared" ref="S167" si="1009">IFERROR(R167/$I167,"")</f>
        <v>0.55307262569832405</v>
      </c>
      <c r="T167" s="5">
        <v>0</v>
      </c>
      <c r="U167" s="46">
        <f t="shared" ref="U167" si="1010">IFERROR(T167/$I167,"")</f>
        <v>0</v>
      </c>
      <c r="V167" s="5">
        <v>44</v>
      </c>
      <c r="W167" s="46">
        <f t="shared" ref="W167" si="1011">IFERROR(V167/$I167,"")</f>
        <v>0.24581005586592178</v>
      </c>
      <c r="X167" s="5">
        <v>39</v>
      </c>
      <c r="Y167" s="46">
        <f t="shared" ref="Y167" si="1012">IFERROR(X167/$I167,"")</f>
        <v>0.21787709497206703</v>
      </c>
      <c r="Z167" s="5">
        <v>66</v>
      </c>
      <c r="AA167" s="46">
        <f t="shared" ref="AA167" si="1013">IFERROR(Z167/$I167,"")</f>
        <v>0.36871508379888268</v>
      </c>
      <c r="AB167" s="5">
        <v>164</v>
      </c>
      <c r="AC167" s="46">
        <f t="shared" si="792"/>
        <v>0.79227053140096615</v>
      </c>
      <c r="AD167" s="5">
        <v>230</v>
      </c>
      <c r="AE167" s="5">
        <v>314560</v>
      </c>
      <c r="AF167" s="5">
        <f t="shared" si="793"/>
        <v>1918.0487804878048</v>
      </c>
      <c r="AG167" s="5">
        <v>1323.73</v>
      </c>
      <c r="AH167" s="49">
        <f t="shared" si="794"/>
        <v>7.3951396648044696</v>
      </c>
      <c r="AI167" s="5">
        <v>6664</v>
      </c>
      <c r="AJ167" s="5">
        <v>41</v>
      </c>
      <c r="AK167" s="4">
        <v>36</v>
      </c>
      <c r="AL167" s="7">
        <v>31</v>
      </c>
      <c r="AM167" s="4">
        <v>3</v>
      </c>
      <c r="AN167" s="4">
        <v>2</v>
      </c>
      <c r="AO167" s="11">
        <f t="shared" si="795"/>
        <v>80.555555555555557</v>
      </c>
      <c r="AP167" s="50">
        <f t="shared" si="796"/>
        <v>0.17391304347826086</v>
      </c>
      <c r="AQ167" s="7">
        <v>207</v>
      </c>
      <c r="AR167" s="50">
        <f t="shared" si="797"/>
        <v>1</v>
      </c>
      <c r="AS167" s="4"/>
    </row>
    <row r="168" spans="1:45" ht="18" customHeight="1" x14ac:dyDescent="0.3">
      <c r="A168" s="4" t="s">
        <v>38</v>
      </c>
      <c r="B168" s="4" t="s">
        <v>121</v>
      </c>
      <c r="C168" s="4" t="s">
        <v>47</v>
      </c>
      <c r="D168" s="4" t="s">
        <v>132</v>
      </c>
      <c r="E168" s="4" t="s">
        <v>133</v>
      </c>
      <c r="F168" s="7" t="s">
        <v>48</v>
      </c>
      <c r="G168" s="4" t="s">
        <v>81</v>
      </c>
      <c r="H168" s="5">
        <v>178</v>
      </c>
      <c r="I168" s="5">
        <v>145</v>
      </c>
      <c r="J168" s="6">
        <f t="shared" si="784"/>
        <v>0.8146067415730337</v>
      </c>
      <c r="K168" s="5">
        <v>67</v>
      </c>
      <c r="L168" s="5">
        <v>31</v>
      </c>
      <c r="M168" s="5">
        <v>21</v>
      </c>
      <c r="N168" s="9">
        <v>30</v>
      </c>
      <c r="O168" s="46">
        <f t="shared" si="785"/>
        <v>0.20689655172413793</v>
      </c>
      <c r="P168" s="5">
        <v>9</v>
      </c>
      <c r="Q168" s="46">
        <f t="shared" ref="Q168" si="1014">IFERROR(P168/$I168,"")</f>
        <v>6.2068965517241378E-2</v>
      </c>
      <c r="R168" s="5">
        <v>80</v>
      </c>
      <c r="S168" s="46">
        <f t="shared" ref="S168" si="1015">IFERROR(R168/$I168,"")</f>
        <v>0.55172413793103448</v>
      </c>
      <c r="T168" s="5">
        <v>1</v>
      </c>
      <c r="U168" s="46">
        <f t="shared" ref="U168" si="1016">IFERROR(T168/$I168,"")</f>
        <v>6.8965517241379309E-3</v>
      </c>
      <c r="V168" s="5">
        <v>27</v>
      </c>
      <c r="W168" s="46">
        <f t="shared" ref="W168" si="1017">IFERROR(V168/$I168,"")</f>
        <v>0.18620689655172415</v>
      </c>
      <c r="X168" s="5">
        <v>28</v>
      </c>
      <c r="Y168" s="46">
        <f t="shared" ref="Y168" si="1018">IFERROR(X168/$I168,"")</f>
        <v>0.19310344827586207</v>
      </c>
      <c r="Z168" s="5">
        <v>48</v>
      </c>
      <c r="AA168" s="46">
        <f t="shared" ref="AA168" si="1019">IFERROR(Z168/$I168,"")</f>
        <v>0.33103448275862069</v>
      </c>
      <c r="AB168" s="5">
        <v>125</v>
      </c>
      <c r="AC168" s="46">
        <f t="shared" si="792"/>
        <v>0.702247191011236</v>
      </c>
      <c r="AD168" s="5">
        <v>181</v>
      </c>
      <c r="AE168" s="5">
        <v>247728</v>
      </c>
      <c r="AF168" s="5">
        <f t="shared" si="793"/>
        <v>1981.8240000000001</v>
      </c>
      <c r="AG168" s="5">
        <v>2953.19</v>
      </c>
      <c r="AH168" s="49">
        <f t="shared" si="794"/>
        <v>20.366827586206895</v>
      </c>
      <c r="AI168" s="5">
        <v>23196</v>
      </c>
      <c r="AJ168" s="5">
        <v>23</v>
      </c>
      <c r="AK168" s="4">
        <v>38</v>
      </c>
      <c r="AL168" s="7">
        <v>34</v>
      </c>
      <c r="AM168" s="4">
        <v>2</v>
      </c>
      <c r="AN168" s="4">
        <v>2</v>
      </c>
      <c r="AO168" s="11">
        <f t="shared" si="795"/>
        <v>84.210526315789465</v>
      </c>
      <c r="AP168" s="50">
        <f t="shared" si="796"/>
        <v>0.21348314606741572</v>
      </c>
      <c r="AQ168" s="7">
        <v>178</v>
      </c>
      <c r="AR168" s="50">
        <f t="shared" si="797"/>
        <v>1</v>
      </c>
      <c r="AS168" s="4"/>
    </row>
    <row r="169" spans="1:45" ht="18" customHeight="1" x14ac:dyDescent="0.3">
      <c r="A169" s="4" t="s">
        <v>38</v>
      </c>
      <c r="B169" s="4" t="s">
        <v>136</v>
      </c>
      <c r="C169" s="4" t="s">
        <v>47</v>
      </c>
      <c r="D169" s="4" t="s">
        <v>137</v>
      </c>
      <c r="E169" s="4" t="s">
        <v>138</v>
      </c>
      <c r="F169" s="7" t="s">
        <v>48</v>
      </c>
      <c r="G169" s="4" t="s">
        <v>49</v>
      </c>
      <c r="H169" s="5">
        <v>139</v>
      </c>
      <c r="I169" s="5">
        <v>131</v>
      </c>
      <c r="J169" s="6">
        <f t="shared" si="784"/>
        <v>0.94244604316546765</v>
      </c>
      <c r="K169" s="5">
        <v>47</v>
      </c>
      <c r="L169" s="5">
        <v>25</v>
      </c>
      <c r="M169" s="5">
        <v>16</v>
      </c>
      <c r="N169" s="9">
        <v>8</v>
      </c>
      <c r="O169" s="46">
        <f t="shared" si="785"/>
        <v>6.1068702290076333E-2</v>
      </c>
      <c r="P169" s="5">
        <v>6</v>
      </c>
      <c r="Q169" s="46">
        <f t="shared" ref="Q169" si="1020">IFERROR(P169/$I169,"")</f>
        <v>4.5801526717557252E-2</v>
      </c>
      <c r="R169" s="5">
        <v>40</v>
      </c>
      <c r="S169" s="46">
        <f t="shared" ref="S169" si="1021">IFERROR(R169/$I169,"")</f>
        <v>0.30534351145038169</v>
      </c>
      <c r="T169" s="5">
        <v>1</v>
      </c>
      <c r="U169" s="46">
        <f t="shared" ref="U169" si="1022">IFERROR(T169/$I169,"")</f>
        <v>7.6335877862595417E-3</v>
      </c>
      <c r="V169" s="5">
        <v>17</v>
      </c>
      <c r="W169" s="46">
        <f t="shared" ref="W169" si="1023">IFERROR(V169/$I169,"")</f>
        <v>0.12977099236641221</v>
      </c>
      <c r="X169" s="5">
        <v>17</v>
      </c>
      <c r="Y169" s="46">
        <f t="shared" ref="Y169" si="1024">IFERROR(X169/$I169,"")</f>
        <v>0.12977099236641221</v>
      </c>
      <c r="Z169" s="5">
        <v>14</v>
      </c>
      <c r="AA169" s="46">
        <f t="shared" ref="AA169" si="1025">IFERROR(Z169/$I169,"")</f>
        <v>0.10687022900763359</v>
      </c>
      <c r="AB169" s="5">
        <v>70</v>
      </c>
      <c r="AC169" s="46">
        <f t="shared" si="792"/>
        <v>0.50359712230215825</v>
      </c>
      <c r="AD169" s="5">
        <v>94</v>
      </c>
      <c r="AE169" s="5">
        <v>143077</v>
      </c>
      <c r="AF169" s="5">
        <f t="shared" si="793"/>
        <v>2043.9571428571428</v>
      </c>
      <c r="AG169" s="5">
        <v>0</v>
      </c>
      <c r="AH169" s="49">
        <f t="shared" si="794"/>
        <v>0</v>
      </c>
      <c r="AI169" s="5">
        <v>944</v>
      </c>
      <c r="AJ169" s="5">
        <v>0</v>
      </c>
      <c r="AK169" s="4">
        <v>33</v>
      </c>
      <c r="AL169" s="7">
        <v>32</v>
      </c>
      <c r="AM169" s="4">
        <v>1</v>
      </c>
      <c r="AN169" s="4">
        <v>0</v>
      </c>
      <c r="AO169" s="11">
        <f t="shared" si="795"/>
        <v>96.969696969696969</v>
      </c>
      <c r="AP169" s="50">
        <f t="shared" si="796"/>
        <v>0.23741007194244604</v>
      </c>
      <c r="AQ169" s="7">
        <v>139</v>
      </c>
      <c r="AR169" s="50">
        <f t="shared" si="797"/>
        <v>1</v>
      </c>
      <c r="AS169" s="4"/>
    </row>
    <row r="170" spans="1:45" ht="18" customHeight="1" x14ac:dyDescent="0.3">
      <c r="A170" s="4" t="s">
        <v>38</v>
      </c>
      <c r="B170" s="4" t="s">
        <v>139</v>
      </c>
      <c r="C170" s="4" t="s">
        <v>47</v>
      </c>
      <c r="D170" s="4" t="s">
        <v>140</v>
      </c>
      <c r="E170" s="4" t="s">
        <v>141</v>
      </c>
      <c r="F170" s="7" t="s">
        <v>48</v>
      </c>
      <c r="G170" s="4" t="s">
        <v>142</v>
      </c>
      <c r="H170" s="5">
        <v>214</v>
      </c>
      <c r="I170" s="5">
        <v>185</v>
      </c>
      <c r="J170" s="6">
        <f t="shared" si="784"/>
        <v>0.86448598130841126</v>
      </c>
      <c r="K170" s="5">
        <v>63</v>
      </c>
      <c r="L170" s="5">
        <v>35</v>
      </c>
      <c r="M170" s="5">
        <v>17</v>
      </c>
      <c r="N170" s="9">
        <v>4</v>
      </c>
      <c r="O170" s="46">
        <f t="shared" si="785"/>
        <v>2.1621621621621623E-2</v>
      </c>
      <c r="P170" s="5">
        <v>8</v>
      </c>
      <c r="Q170" s="46">
        <f t="shared" ref="Q170" si="1026">IFERROR(P170/$I170,"")</f>
        <v>4.3243243243243246E-2</v>
      </c>
      <c r="R170" s="5">
        <v>67</v>
      </c>
      <c r="S170" s="46">
        <f t="shared" ref="S170" si="1027">IFERROR(R170/$I170,"")</f>
        <v>0.36216216216216218</v>
      </c>
      <c r="T170" s="5">
        <v>0</v>
      </c>
      <c r="U170" s="46">
        <f t="shared" ref="U170" si="1028">IFERROR(T170/$I170,"")</f>
        <v>0</v>
      </c>
      <c r="V170" s="5">
        <v>28</v>
      </c>
      <c r="W170" s="46">
        <f t="shared" ref="W170" si="1029">IFERROR(V170/$I170,"")</f>
        <v>0.15135135135135136</v>
      </c>
      <c r="X170" s="5">
        <v>18</v>
      </c>
      <c r="Y170" s="46">
        <f t="shared" ref="Y170" si="1030">IFERROR(X170/$I170,"")</f>
        <v>9.7297297297297303E-2</v>
      </c>
      <c r="Z170" s="5">
        <v>6</v>
      </c>
      <c r="AA170" s="46">
        <f t="shared" ref="AA170" si="1031">IFERROR(Z170/$I170,"")</f>
        <v>3.2432432432432434E-2</v>
      </c>
      <c r="AB170" s="5">
        <v>97</v>
      </c>
      <c r="AC170" s="46">
        <f t="shared" si="792"/>
        <v>0.45327102803738317</v>
      </c>
      <c r="AD170" s="5">
        <v>122</v>
      </c>
      <c r="AE170" s="5">
        <v>147855</v>
      </c>
      <c r="AF170" s="5">
        <f t="shared" si="793"/>
        <v>1524.2783505154639</v>
      </c>
      <c r="AG170" s="5">
        <v>450</v>
      </c>
      <c r="AH170" s="49">
        <f t="shared" si="794"/>
        <v>2.4324324324324325</v>
      </c>
      <c r="AI170" s="5">
        <v>347</v>
      </c>
      <c r="AJ170" s="5">
        <v>0</v>
      </c>
      <c r="AK170" s="4">
        <v>16</v>
      </c>
      <c r="AL170" s="7">
        <v>15</v>
      </c>
      <c r="AM170" s="4">
        <v>1</v>
      </c>
      <c r="AN170" s="4">
        <v>0</v>
      </c>
      <c r="AO170" s="11">
        <f t="shared" si="795"/>
        <v>93.75</v>
      </c>
      <c r="AP170" s="50">
        <f t="shared" si="796"/>
        <v>7.476635514018691E-2</v>
      </c>
      <c r="AQ170" s="7">
        <v>214</v>
      </c>
      <c r="AR170" s="50">
        <f t="shared" si="797"/>
        <v>1</v>
      </c>
      <c r="AS170" s="4"/>
    </row>
    <row r="171" spans="1:45" ht="18" customHeight="1" x14ac:dyDescent="0.3">
      <c r="A171" s="4" t="s">
        <v>38</v>
      </c>
      <c r="B171" s="4" t="s">
        <v>143</v>
      </c>
      <c r="C171" s="4" t="s">
        <v>47</v>
      </c>
      <c r="D171" s="4" t="s">
        <v>144</v>
      </c>
      <c r="E171" s="4" t="s">
        <v>145</v>
      </c>
      <c r="F171" s="7" t="s">
        <v>48</v>
      </c>
      <c r="G171" s="4" t="s">
        <v>57</v>
      </c>
      <c r="H171" s="5">
        <v>168</v>
      </c>
      <c r="I171" s="5">
        <v>139</v>
      </c>
      <c r="J171" s="6">
        <f t="shared" si="784"/>
        <v>0.82738095238095233</v>
      </c>
      <c r="K171" s="5">
        <v>69</v>
      </c>
      <c r="L171" s="5">
        <v>33</v>
      </c>
      <c r="M171" s="5">
        <v>23</v>
      </c>
      <c r="N171" s="9">
        <v>8</v>
      </c>
      <c r="O171" s="46">
        <f t="shared" si="785"/>
        <v>5.7553956834532377E-2</v>
      </c>
      <c r="P171" s="5">
        <v>6</v>
      </c>
      <c r="Q171" s="46">
        <f t="shared" ref="Q171" si="1032">IFERROR(P171/$I171,"")</f>
        <v>4.3165467625899283E-2</v>
      </c>
      <c r="R171" s="5">
        <v>47</v>
      </c>
      <c r="S171" s="46">
        <f t="shared" ref="S171" si="1033">IFERROR(R171/$I171,"")</f>
        <v>0.33812949640287771</v>
      </c>
      <c r="T171" s="5">
        <v>0</v>
      </c>
      <c r="U171" s="46">
        <f t="shared" ref="U171" si="1034">IFERROR(T171/$I171,"")</f>
        <v>0</v>
      </c>
      <c r="V171" s="5">
        <v>14</v>
      </c>
      <c r="W171" s="46">
        <f t="shared" ref="W171" si="1035">IFERROR(V171/$I171,"")</f>
        <v>0.10071942446043165</v>
      </c>
      <c r="X171" s="5">
        <v>9</v>
      </c>
      <c r="Y171" s="46">
        <f t="shared" ref="Y171" si="1036">IFERROR(X171/$I171,"")</f>
        <v>6.4748201438848921E-2</v>
      </c>
      <c r="Z171" s="5">
        <v>5</v>
      </c>
      <c r="AA171" s="46">
        <f t="shared" ref="AA171" si="1037">IFERROR(Z171/$I171,"")</f>
        <v>3.5971223021582732E-2</v>
      </c>
      <c r="AB171" s="5">
        <v>83</v>
      </c>
      <c r="AC171" s="46">
        <f t="shared" si="792"/>
        <v>0.49404761904761907</v>
      </c>
      <c r="AD171" s="5">
        <v>109</v>
      </c>
      <c r="AE171" s="5">
        <v>126857</v>
      </c>
      <c r="AF171" s="5">
        <f t="shared" si="793"/>
        <v>1528.3975903614457</v>
      </c>
      <c r="AG171" s="5">
        <v>275.42</v>
      </c>
      <c r="AH171" s="49">
        <f t="shared" si="794"/>
        <v>1.9814388489208634</v>
      </c>
      <c r="AI171" s="5">
        <v>0</v>
      </c>
      <c r="AJ171" s="5">
        <v>0</v>
      </c>
      <c r="AK171" s="4">
        <v>34</v>
      </c>
      <c r="AL171" s="7">
        <v>33</v>
      </c>
      <c r="AM171" s="4">
        <v>1</v>
      </c>
      <c r="AN171" s="4">
        <v>0</v>
      </c>
      <c r="AO171" s="11">
        <f t="shared" si="795"/>
        <v>97.058823529411768</v>
      </c>
      <c r="AP171" s="50">
        <f t="shared" si="796"/>
        <v>0.20238095238095238</v>
      </c>
      <c r="AQ171" s="7">
        <v>168</v>
      </c>
      <c r="AR171" s="50">
        <f t="shared" si="797"/>
        <v>1</v>
      </c>
      <c r="AS171" s="4"/>
    </row>
    <row r="172" spans="1:45" ht="18" customHeight="1" x14ac:dyDescent="0.3">
      <c r="A172" s="4" t="s">
        <v>39</v>
      </c>
      <c r="B172" s="4" t="s">
        <v>4</v>
      </c>
      <c r="C172" s="4" t="s">
        <v>47</v>
      </c>
      <c r="D172" s="4" t="s">
        <v>35</v>
      </c>
      <c r="E172" s="4" t="s">
        <v>2</v>
      </c>
      <c r="F172" s="7" t="s">
        <v>48</v>
      </c>
      <c r="G172" s="4" t="s">
        <v>49</v>
      </c>
      <c r="H172" s="5">
        <v>136</v>
      </c>
      <c r="I172" s="5">
        <v>110</v>
      </c>
      <c r="J172" s="6">
        <f t="shared" si="784"/>
        <v>0.80882352941176472</v>
      </c>
      <c r="K172" s="5">
        <v>80</v>
      </c>
      <c r="L172" s="5">
        <v>44</v>
      </c>
      <c r="M172" s="5">
        <v>27</v>
      </c>
      <c r="N172" s="9">
        <v>30</v>
      </c>
      <c r="O172" s="46">
        <f t="shared" si="785"/>
        <v>0.27272727272727271</v>
      </c>
      <c r="P172" s="5">
        <v>5</v>
      </c>
      <c r="Q172" s="46">
        <f t="shared" ref="Q172" si="1038">IFERROR(P172/$I172,"")</f>
        <v>4.5454545454545456E-2</v>
      </c>
      <c r="R172" s="5">
        <v>56</v>
      </c>
      <c r="S172" s="46">
        <f t="shared" ref="S172" si="1039">IFERROR(R172/$I172,"")</f>
        <v>0.50909090909090904</v>
      </c>
      <c r="T172" s="5">
        <v>2</v>
      </c>
      <c r="U172" s="46">
        <f t="shared" ref="U172" si="1040">IFERROR(T172/$I172,"")</f>
        <v>1.8181818181818181E-2</v>
      </c>
      <c r="V172" s="5">
        <v>25</v>
      </c>
      <c r="W172" s="46">
        <f t="shared" ref="W172" si="1041">IFERROR(V172/$I172,"")</f>
        <v>0.22727272727272727</v>
      </c>
      <c r="X172" s="5">
        <v>27</v>
      </c>
      <c r="Y172" s="46">
        <f t="shared" ref="Y172" si="1042">IFERROR(X172/$I172,"")</f>
        <v>0.24545454545454545</v>
      </c>
      <c r="Z172" s="5">
        <v>28</v>
      </c>
      <c r="AA172" s="46">
        <f t="shared" ref="AA172" si="1043">IFERROR(Z172/$I172,"")</f>
        <v>0.25454545454545452</v>
      </c>
      <c r="AB172" s="5">
        <v>78</v>
      </c>
      <c r="AC172" s="46">
        <f t="shared" si="792"/>
        <v>0.57352941176470584</v>
      </c>
      <c r="AD172" s="5">
        <v>90</v>
      </c>
      <c r="AE172" s="5">
        <v>147696.70999999993</v>
      </c>
      <c r="AF172" s="5">
        <f t="shared" si="793"/>
        <v>1893.5475641025632</v>
      </c>
      <c r="AG172" s="5">
        <v>0</v>
      </c>
      <c r="AH172" s="49">
        <f t="shared" si="794"/>
        <v>0</v>
      </c>
      <c r="AI172" s="5">
        <v>0</v>
      </c>
      <c r="AJ172" s="5">
        <v>19</v>
      </c>
      <c r="AK172" s="4">
        <v>12</v>
      </c>
      <c r="AL172" s="7">
        <v>12</v>
      </c>
      <c r="AM172" s="4">
        <v>0</v>
      </c>
      <c r="AN172" s="4">
        <v>0</v>
      </c>
      <c r="AO172" s="11">
        <f t="shared" si="795"/>
        <v>100</v>
      </c>
      <c r="AP172" s="50">
        <f t="shared" si="796"/>
        <v>8.8235294117647065E-2</v>
      </c>
      <c r="AQ172" s="7">
        <v>136</v>
      </c>
      <c r="AR172" s="50">
        <f t="shared" si="797"/>
        <v>1</v>
      </c>
      <c r="AS172" s="4"/>
    </row>
    <row r="173" spans="1:45" ht="18" customHeight="1" x14ac:dyDescent="0.3">
      <c r="A173" s="4" t="s">
        <v>39</v>
      </c>
      <c r="B173" s="4" t="s">
        <v>4</v>
      </c>
      <c r="C173" s="4" t="s">
        <v>47</v>
      </c>
      <c r="D173" s="4" t="s">
        <v>50</v>
      </c>
      <c r="E173" s="4" t="s">
        <v>51</v>
      </c>
      <c r="F173" s="7" t="s">
        <v>48</v>
      </c>
      <c r="G173" s="4" t="s">
        <v>49</v>
      </c>
      <c r="H173" s="5">
        <v>172</v>
      </c>
      <c r="I173" s="5">
        <v>144</v>
      </c>
      <c r="J173" s="6">
        <f t="shared" si="784"/>
        <v>0.83720930232558144</v>
      </c>
      <c r="K173" s="5">
        <v>94</v>
      </c>
      <c r="L173" s="5">
        <v>51</v>
      </c>
      <c r="M173" s="5">
        <v>29</v>
      </c>
      <c r="N173" s="9">
        <v>12</v>
      </c>
      <c r="O173" s="46">
        <f t="shared" si="785"/>
        <v>8.3333333333333329E-2</v>
      </c>
      <c r="P173" s="5">
        <v>7</v>
      </c>
      <c r="Q173" s="46">
        <f t="shared" ref="Q173" si="1044">IFERROR(P173/$I173,"")</f>
        <v>4.8611111111111112E-2</v>
      </c>
      <c r="R173" s="5">
        <v>68</v>
      </c>
      <c r="S173" s="46">
        <f t="shared" ref="S173" si="1045">IFERROR(R173/$I173,"")</f>
        <v>0.47222222222222221</v>
      </c>
      <c r="T173" s="5">
        <v>1</v>
      </c>
      <c r="U173" s="46">
        <f t="shared" ref="U173" si="1046">IFERROR(T173/$I173,"")</f>
        <v>6.9444444444444441E-3</v>
      </c>
      <c r="V173" s="5">
        <v>34</v>
      </c>
      <c r="W173" s="46">
        <f t="shared" ref="W173" si="1047">IFERROR(V173/$I173,"")</f>
        <v>0.2361111111111111</v>
      </c>
      <c r="X173" s="5">
        <v>36</v>
      </c>
      <c r="Y173" s="46">
        <f t="shared" ref="Y173" si="1048">IFERROR(X173/$I173,"")</f>
        <v>0.25</v>
      </c>
      <c r="Z173" s="5">
        <v>21</v>
      </c>
      <c r="AA173" s="46">
        <f t="shared" ref="AA173" si="1049">IFERROR(Z173/$I173,"")</f>
        <v>0.14583333333333334</v>
      </c>
      <c r="AB173" s="5">
        <v>87</v>
      </c>
      <c r="AC173" s="46">
        <f t="shared" si="792"/>
        <v>0.5058139534883721</v>
      </c>
      <c r="AD173" s="5">
        <v>133</v>
      </c>
      <c r="AE173" s="5">
        <v>273799.15999999986</v>
      </c>
      <c r="AF173" s="5">
        <f t="shared" si="793"/>
        <v>3147.1167816091938</v>
      </c>
      <c r="AG173" s="5">
        <v>166</v>
      </c>
      <c r="AH173" s="49">
        <f t="shared" si="794"/>
        <v>1.1527777777777777</v>
      </c>
      <c r="AI173" s="5">
        <v>0</v>
      </c>
      <c r="AJ173" s="5">
        <v>18</v>
      </c>
      <c r="AK173" s="4">
        <v>31</v>
      </c>
      <c r="AL173" s="7">
        <v>27</v>
      </c>
      <c r="AM173" s="4">
        <v>3</v>
      </c>
      <c r="AN173" s="4">
        <v>1</v>
      </c>
      <c r="AO173" s="11">
        <f t="shared" si="795"/>
        <v>83.870967741935488</v>
      </c>
      <c r="AP173" s="50">
        <f t="shared" si="796"/>
        <v>0.18023255813953487</v>
      </c>
      <c r="AQ173" s="7">
        <v>172</v>
      </c>
      <c r="AR173" s="50">
        <f t="shared" si="797"/>
        <v>1</v>
      </c>
      <c r="AS173" s="4"/>
    </row>
    <row r="174" spans="1:45" ht="18" customHeight="1" x14ac:dyDescent="0.3">
      <c r="A174" s="4" t="s">
        <v>39</v>
      </c>
      <c r="B174" s="4" t="s">
        <v>4</v>
      </c>
      <c r="C174" s="4" t="s">
        <v>47</v>
      </c>
      <c r="D174" s="4" t="s">
        <v>52</v>
      </c>
      <c r="E174" s="4" t="s">
        <v>53</v>
      </c>
      <c r="F174" s="7" t="s">
        <v>48</v>
      </c>
      <c r="G174" s="4" t="s">
        <v>54</v>
      </c>
      <c r="H174" s="5">
        <v>158</v>
      </c>
      <c r="I174" s="5">
        <v>136</v>
      </c>
      <c r="J174" s="6">
        <f t="shared" si="784"/>
        <v>0.86075949367088611</v>
      </c>
      <c r="K174" s="5">
        <v>88</v>
      </c>
      <c r="L174" s="5">
        <v>48</v>
      </c>
      <c r="M174" s="5">
        <v>20</v>
      </c>
      <c r="N174" s="9">
        <v>12</v>
      </c>
      <c r="O174" s="46">
        <f t="shared" si="785"/>
        <v>8.8235294117647065E-2</v>
      </c>
      <c r="P174" s="5">
        <v>7</v>
      </c>
      <c r="Q174" s="46">
        <f t="shared" ref="Q174" si="1050">IFERROR(P174/$I174,"")</f>
        <v>5.1470588235294115E-2</v>
      </c>
      <c r="R174" s="5">
        <v>74</v>
      </c>
      <c r="S174" s="46">
        <f t="shared" ref="S174" si="1051">IFERROR(R174/$I174,"")</f>
        <v>0.54411764705882348</v>
      </c>
      <c r="T174" s="5">
        <v>1</v>
      </c>
      <c r="U174" s="46">
        <f t="shared" ref="U174" si="1052">IFERROR(T174/$I174,"")</f>
        <v>7.3529411764705881E-3</v>
      </c>
      <c r="V174" s="5">
        <v>20</v>
      </c>
      <c r="W174" s="46">
        <f t="shared" ref="W174" si="1053">IFERROR(V174/$I174,"")</f>
        <v>0.14705882352941177</v>
      </c>
      <c r="X174" s="5">
        <v>27</v>
      </c>
      <c r="Y174" s="46">
        <f t="shared" ref="Y174" si="1054">IFERROR(X174/$I174,"")</f>
        <v>0.19852941176470587</v>
      </c>
      <c r="Z174" s="5">
        <v>18</v>
      </c>
      <c r="AA174" s="46">
        <f t="shared" ref="AA174" si="1055">IFERROR(Z174/$I174,"")</f>
        <v>0.13235294117647059</v>
      </c>
      <c r="AB174" s="5">
        <v>74</v>
      </c>
      <c r="AC174" s="46">
        <f t="shared" si="792"/>
        <v>0.46835443037974683</v>
      </c>
      <c r="AD174" s="5">
        <v>103</v>
      </c>
      <c r="AE174" s="5">
        <v>204987.02999999991</v>
      </c>
      <c r="AF174" s="5">
        <f t="shared" si="793"/>
        <v>2770.0949999999989</v>
      </c>
      <c r="AG174" s="5">
        <v>2538.14</v>
      </c>
      <c r="AH174" s="49">
        <f t="shared" si="794"/>
        <v>18.662794117647056</v>
      </c>
      <c r="AI174" s="5">
        <v>0</v>
      </c>
      <c r="AJ174" s="5">
        <v>12</v>
      </c>
      <c r="AK174" s="4">
        <v>45</v>
      </c>
      <c r="AL174" s="7">
        <v>45</v>
      </c>
      <c r="AM174" s="4">
        <v>0</v>
      </c>
      <c r="AN174" s="4">
        <v>0</v>
      </c>
      <c r="AO174" s="11">
        <f t="shared" si="795"/>
        <v>100</v>
      </c>
      <c r="AP174" s="50">
        <f t="shared" si="796"/>
        <v>0.2848101265822785</v>
      </c>
      <c r="AQ174" s="7">
        <v>158</v>
      </c>
      <c r="AR174" s="50">
        <f t="shared" si="797"/>
        <v>1</v>
      </c>
      <c r="AS174" s="4"/>
    </row>
    <row r="175" spans="1:45" ht="18" customHeight="1" x14ac:dyDescent="0.3">
      <c r="A175" s="4" t="s">
        <v>39</v>
      </c>
      <c r="B175" s="4" t="s">
        <v>4</v>
      </c>
      <c r="C175" s="4" t="s">
        <v>47</v>
      </c>
      <c r="D175" s="4" t="s">
        <v>55</v>
      </c>
      <c r="E175" s="4" t="s">
        <v>56</v>
      </c>
      <c r="F175" s="7" t="s">
        <v>48</v>
      </c>
      <c r="G175" s="4" t="s">
        <v>57</v>
      </c>
      <c r="H175" s="5">
        <v>146</v>
      </c>
      <c r="I175" s="5">
        <v>131</v>
      </c>
      <c r="J175" s="6">
        <f t="shared" si="784"/>
        <v>0.89726027397260277</v>
      </c>
      <c r="K175" s="5">
        <v>69</v>
      </c>
      <c r="L175" s="5">
        <v>30</v>
      </c>
      <c r="M175" s="5">
        <v>23</v>
      </c>
      <c r="N175" s="9">
        <v>9</v>
      </c>
      <c r="O175" s="46">
        <f t="shared" si="785"/>
        <v>6.8702290076335881E-2</v>
      </c>
      <c r="P175" s="5">
        <v>5</v>
      </c>
      <c r="Q175" s="46">
        <f t="shared" ref="Q175" si="1056">IFERROR(P175/$I175,"")</f>
        <v>3.8167938931297711E-2</v>
      </c>
      <c r="R175" s="5">
        <v>57</v>
      </c>
      <c r="S175" s="46">
        <f t="shared" ref="S175" si="1057">IFERROR(R175/$I175,"")</f>
        <v>0.4351145038167939</v>
      </c>
      <c r="T175" s="5">
        <v>2</v>
      </c>
      <c r="U175" s="46">
        <f t="shared" ref="U175" si="1058">IFERROR(T175/$I175,"")</f>
        <v>1.5267175572519083E-2</v>
      </c>
      <c r="V175" s="5">
        <v>15</v>
      </c>
      <c r="W175" s="46">
        <f t="shared" ref="W175" si="1059">IFERROR(V175/$I175,"")</f>
        <v>0.11450381679389313</v>
      </c>
      <c r="X175" s="5">
        <v>20</v>
      </c>
      <c r="Y175" s="46">
        <f t="shared" ref="Y175" si="1060">IFERROR(X175/$I175,"")</f>
        <v>0.15267175572519084</v>
      </c>
      <c r="Z175" s="5">
        <v>16</v>
      </c>
      <c r="AA175" s="46">
        <f t="shared" ref="AA175" si="1061">IFERROR(Z175/$I175,"")</f>
        <v>0.12213740458015267</v>
      </c>
      <c r="AB175" s="5">
        <v>70</v>
      </c>
      <c r="AC175" s="46">
        <f t="shared" si="792"/>
        <v>0.47945205479452052</v>
      </c>
      <c r="AD175" s="5">
        <v>92</v>
      </c>
      <c r="AE175" s="5">
        <v>200455.97</v>
      </c>
      <c r="AF175" s="5">
        <f t="shared" si="793"/>
        <v>2863.6567142857143</v>
      </c>
      <c r="AG175" s="5">
        <v>0</v>
      </c>
      <c r="AH175" s="49">
        <f t="shared" si="794"/>
        <v>0</v>
      </c>
      <c r="AI175" s="5">
        <v>1054</v>
      </c>
      <c r="AJ175" s="5">
        <v>11</v>
      </c>
      <c r="AK175" s="4">
        <v>28</v>
      </c>
      <c r="AL175" s="7">
        <v>27</v>
      </c>
      <c r="AM175" s="4">
        <v>0</v>
      </c>
      <c r="AN175" s="4">
        <v>1</v>
      </c>
      <c r="AO175" s="11">
        <f t="shared" si="795"/>
        <v>92.857142857142861</v>
      </c>
      <c r="AP175" s="50">
        <f t="shared" si="796"/>
        <v>0.19178082191780821</v>
      </c>
      <c r="AQ175" s="7">
        <v>146</v>
      </c>
      <c r="AR175" s="50">
        <f t="shared" si="797"/>
        <v>1</v>
      </c>
      <c r="AS175" s="4"/>
    </row>
    <row r="176" spans="1:45" ht="18" customHeight="1" x14ac:dyDescent="0.3">
      <c r="A176" s="4" t="s">
        <v>39</v>
      </c>
      <c r="B176" s="4" t="s">
        <v>4</v>
      </c>
      <c r="C176" s="4" t="s">
        <v>47</v>
      </c>
      <c r="D176" s="4"/>
      <c r="E176" s="4" t="s">
        <v>149</v>
      </c>
      <c r="F176" s="7" t="s">
        <v>48</v>
      </c>
      <c r="G176" s="4" t="s">
        <v>61</v>
      </c>
      <c r="H176" s="5">
        <v>99</v>
      </c>
      <c r="I176" s="5">
        <v>101</v>
      </c>
      <c r="J176" s="6">
        <f t="shared" si="784"/>
        <v>1.0202020202020201</v>
      </c>
      <c r="K176" s="5">
        <v>32</v>
      </c>
      <c r="L176" s="5">
        <v>14</v>
      </c>
      <c r="M176" s="5">
        <v>10</v>
      </c>
      <c r="N176" s="9">
        <v>0</v>
      </c>
      <c r="O176" s="46">
        <f t="shared" si="785"/>
        <v>0</v>
      </c>
      <c r="P176" s="5">
        <v>4</v>
      </c>
      <c r="Q176" s="46">
        <f t="shared" ref="Q176" si="1062">IFERROR(P176/$I176,"")</f>
        <v>3.9603960396039604E-2</v>
      </c>
      <c r="R176" s="5">
        <v>41</v>
      </c>
      <c r="S176" s="46">
        <f t="shared" ref="S176" si="1063">IFERROR(R176/$I176,"")</f>
        <v>0.40594059405940597</v>
      </c>
      <c r="T176" s="5">
        <v>0</v>
      </c>
      <c r="U176" s="46">
        <f t="shared" ref="U176" si="1064">IFERROR(T176/$I176,"")</f>
        <v>0</v>
      </c>
      <c r="V176" s="5">
        <v>3</v>
      </c>
      <c r="W176" s="46">
        <f t="shared" ref="W176" si="1065">IFERROR(V176/$I176,"")</f>
        <v>2.9702970297029702E-2</v>
      </c>
      <c r="X176" s="5">
        <v>0</v>
      </c>
      <c r="Y176" s="46">
        <f t="shared" ref="Y176" si="1066">IFERROR(X176/$I176,"")</f>
        <v>0</v>
      </c>
      <c r="Z176" s="5">
        <v>3</v>
      </c>
      <c r="AA176" s="46">
        <f t="shared" ref="AA176" si="1067">IFERROR(Z176/$I176,"")</f>
        <v>2.9702970297029702E-2</v>
      </c>
      <c r="AB176" s="5">
        <v>59</v>
      </c>
      <c r="AC176" s="46">
        <f t="shared" si="792"/>
        <v>0.59595959595959591</v>
      </c>
      <c r="AD176" s="5">
        <v>60</v>
      </c>
      <c r="AE176" s="5">
        <v>79237.029999999984</v>
      </c>
      <c r="AF176" s="5">
        <f t="shared" si="793"/>
        <v>1343.000508474576</v>
      </c>
      <c r="AG176" s="5">
        <v>0</v>
      </c>
      <c r="AH176" s="49">
        <f t="shared" si="794"/>
        <v>0</v>
      </c>
      <c r="AI176" s="5">
        <v>0</v>
      </c>
      <c r="AJ176" s="5">
        <v>4</v>
      </c>
      <c r="AK176" s="4">
        <v>27</v>
      </c>
      <c r="AL176" s="7">
        <v>22</v>
      </c>
      <c r="AM176" s="4">
        <v>5</v>
      </c>
      <c r="AN176" s="4">
        <v>0</v>
      </c>
      <c r="AO176" s="11">
        <f t="shared" si="795"/>
        <v>81.481481481481481</v>
      </c>
      <c r="AP176" s="50">
        <f t="shared" si="796"/>
        <v>0.27272727272727271</v>
      </c>
      <c r="AQ176" s="7">
        <v>99</v>
      </c>
      <c r="AR176" s="50">
        <f t="shared" si="797"/>
        <v>1</v>
      </c>
      <c r="AS176" s="4"/>
    </row>
    <row r="177" spans="1:45" ht="18" customHeight="1" x14ac:dyDescent="0.3">
      <c r="A177" s="4" t="s">
        <v>39</v>
      </c>
      <c r="B177" s="4" t="s">
        <v>4</v>
      </c>
      <c r="C177" s="4" t="s">
        <v>47</v>
      </c>
      <c r="D177" s="4"/>
      <c r="E177" s="4" t="s">
        <v>150</v>
      </c>
      <c r="F177" s="7" t="s">
        <v>48</v>
      </c>
      <c r="G177" s="4" t="s">
        <v>61</v>
      </c>
      <c r="H177" s="5">
        <v>69</v>
      </c>
      <c r="I177" s="5">
        <v>71</v>
      </c>
      <c r="J177" s="6">
        <f t="shared" si="784"/>
        <v>1.0289855072463767</v>
      </c>
      <c r="K177" s="5">
        <v>28</v>
      </c>
      <c r="L177" s="5">
        <v>12</v>
      </c>
      <c r="M177" s="5">
        <v>12</v>
      </c>
      <c r="N177" s="9">
        <v>0</v>
      </c>
      <c r="O177" s="46">
        <f t="shared" si="785"/>
        <v>0</v>
      </c>
      <c r="P177" s="5">
        <v>6</v>
      </c>
      <c r="Q177" s="46">
        <f t="shared" ref="Q177" si="1068">IFERROR(P177/$I177,"")</f>
        <v>8.4507042253521125E-2</v>
      </c>
      <c r="R177" s="5">
        <v>33</v>
      </c>
      <c r="S177" s="46">
        <f t="shared" ref="S177" si="1069">IFERROR(R177/$I177,"")</f>
        <v>0.46478873239436619</v>
      </c>
      <c r="T177" s="5">
        <v>0</v>
      </c>
      <c r="U177" s="46">
        <f t="shared" ref="U177" si="1070">IFERROR(T177/$I177,"")</f>
        <v>0</v>
      </c>
      <c r="V177" s="5">
        <v>1</v>
      </c>
      <c r="W177" s="46">
        <f t="shared" ref="W177" si="1071">IFERROR(V177/$I177,"")</f>
        <v>1.4084507042253521E-2</v>
      </c>
      <c r="X177" s="5">
        <v>0</v>
      </c>
      <c r="Y177" s="46">
        <f t="shared" ref="Y177" si="1072">IFERROR(X177/$I177,"")</f>
        <v>0</v>
      </c>
      <c r="Z177" s="5">
        <v>5</v>
      </c>
      <c r="AA177" s="46">
        <f t="shared" ref="AA177" si="1073">IFERROR(Z177/$I177,"")</f>
        <v>7.0422535211267609E-2</v>
      </c>
      <c r="AB177" s="5">
        <v>13</v>
      </c>
      <c r="AC177" s="46">
        <f t="shared" si="792"/>
        <v>0.18840579710144928</v>
      </c>
      <c r="AD177" s="5">
        <v>16</v>
      </c>
      <c r="AE177" s="5">
        <v>21119.819999999996</v>
      </c>
      <c r="AF177" s="5">
        <f t="shared" si="793"/>
        <v>1624.6015384615382</v>
      </c>
      <c r="AG177" s="5">
        <v>211.01</v>
      </c>
      <c r="AH177" s="49">
        <f t="shared" si="794"/>
        <v>2.9719718309859156</v>
      </c>
      <c r="AI177" s="5">
        <v>0</v>
      </c>
      <c r="AJ177" s="5">
        <v>4</v>
      </c>
      <c r="AK177" s="4">
        <v>13</v>
      </c>
      <c r="AL177" s="7">
        <v>9</v>
      </c>
      <c r="AM177" s="4">
        <v>0</v>
      </c>
      <c r="AN177" s="4">
        <v>4</v>
      </c>
      <c r="AO177" s="11">
        <f t="shared" si="795"/>
        <v>38.461538461538467</v>
      </c>
      <c r="AP177" s="50">
        <f t="shared" si="796"/>
        <v>0.18840579710144928</v>
      </c>
      <c r="AQ177" s="7">
        <v>69</v>
      </c>
      <c r="AR177" s="50">
        <f t="shared" si="797"/>
        <v>1</v>
      </c>
      <c r="AS177" s="4"/>
    </row>
    <row r="178" spans="1:45" ht="18" customHeight="1" x14ac:dyDescent="0.3">
      <c r="A178" s="4" t="s">
        <v>39</v>
      </c>
      <c r="B178" s="4" t="s">
        <v>4</v>
      </c>
      <c r="C178" s="4" t="s">
        <v>47</v>
      </c>
      <c r="D178" s="4" t="s">
        <v>63</v>
      </c>
      <c r="E178" s="4" t="s">
        <v>64</v>
      </c>
      <c r="F178" s="7" t="s">
        <v>48</v>
      </c>
      <c r="G178" s="4" t="s">
        <v>65</v>
      </c>
      <c r="H178" s="5">
        <v>179</v>
      </c>
      <c r="I178" s="5">
        <v>140</v>
      </c>
      <c r="J178" s="6">
        <f t="shared" si="784"/>
        <v>0.78212290502793291</v>
      </c>
      <c r="K178" s="5">
        <v>96</v>
      </c>
      <c r="L178" s="5">
        <v>49</v>
      </c>
      <c r="M178" s="5">
        <v>27</v>
      </c>
      <c r="N178" s="9">
        <v>9</v>
      </c>
      <c r="O178" s="46">
        <f t="shared" si="785"/>
        <v>6.4285714285714279E-2</v>
      </c>
      <c r="P178" s="5">
        <v>3</v>
      </c>
      <c r="Q178" s="46">
        <f t="shared" ref="Q178" si="1074">IFERROR(P178/$I178,"")</f>
        <v>2.1428571428571429E-2</v>
      </c>
      <c r="R178" s="5">
        <v>36</v>
      </c>
      <c r="S178" s="46">
        <f t="shared" ref="S178" si="1075">IFERROR(R178/$I178,"")</f>
        <v>0.25714285714285712</v>
      </c>
      <c r="T178" s="5">
        <v>1</v>
      </c>
      <c r="U178" s="46">
        <f t="shared" ref="U178" si="1076">IFERROR(T178/$I178,"")</f>
        <v>7.1428571428571426E-3</v>
      </c>
      <c r="V178" s="5">
        <v>13</v>
      </c>
      <c r="W178" s="46">
        <f t="shared" ref="W178" si="1077">IFERROR(V178/$I178,"")</f>
        <v>9.285714285714286E-2</v>
      </c>
      <c r="X178" s="5">
        <v>15</v>
      </c>
      <c r="Y178" s="46">
        <f t="shared" ref="Y178" si="1078">IFERROR(X178/$I178,"")</f>
        <v>0.10714285714285714</v>
      </c>
      <c r="Z178" s="5">
        <v>15</v>
      </c>
      <c r="AA178" s="46">
        <f t="shared" ref="AA178" si="1079">IFERROR(Z178/$I178,"")</f>
        <v>0.10714285714285714</v>
      </c>
      <c r="AB178" s="5">
        <v>66</v>
      </c>
      <c r="AC178" s="46">
        <f t="shared" si="792"/>
        <v>0.36871508379888268</v>
      </c>
      <c r="AD178" s="5">
        <v>88</v>
      </c>
      <c r="AE178" s="5">
        <v>169645.25</v>
      </c>
      <c r="AF178" s="5">
        <f t="shared" si="793"/>
        <v>2570.382575757576</v>
      </c>
      <c r="AG178" s="5">
        <v>633.02</v>
      </c>
      <c r="AH178" s="49">
        <f t="shared" si="794"/>
        <v>4.5215714285714288</v>
      </c>
      <c r="AI178" s="5">
        <v>228186</v>
      </c>
      <c r="AJ178" s="5">
        <v>15</v>
      </c>
      <c r="AK178" s="4">
        <v>45</v>
      </c>
      <c r="AL178" s="7">
        <v>45</v>
      </c>
      <c r="AM178" s="4">
        <v>0</v>
      </c>
      <c r="AN178" s="4">
        <v>0</v>
      </c>
      <c r="AO178" s="11">
        <f t="shared" si="795"/>
        <v>100</v>
      </c>
      <c r="AP178" s="50">
        <f t="shared" si="796"/>
        <v>0.25139664804469275</v>
      </c>
      <c r="AQ178" s="7">
        <v>179</v>
      </c>
      <c r="AR178" s="50">
        <f t="shared" si="797"/>
        <v>1</v>
      </c>
      <c r="AS178" s="4"/>
    </row>
    <row r="179" spans="1:45" ht="18" customHeight="1" x14ac:dyDescent="0.3">
      <c r="A179" s="4" t="s">
        <v>39</v>
      </c>
      <c r="B179" s="4" t="s">
        <v>4</v>
      </c>
      <c r="C179" s="4" t="s">
        <v>47</v>
      </c>
      <c r="D179" s="4" t="s">
        <v>66</v>
      </c>
      <c r="E179" s="4" t="s">
        <v>67</v>
      </c>
      <c r="F179" s="7" t="s">
        <v>48</v>
      </c>
      <c r="G179" s="4" t="s">
        <v>65</v>
      </c>
      <c r="H179" s="5">
        <v>172</v>
      </c>
      <c r="I179" s="5">
        <v>122</v>
      </c>
      <c r="J179" s="6">
        <f t="shared" si="784"/>
        <v>0.70930232558139539</v>
      </c>
      <c r="K179" s="5">
        <v>89</v>
      </c>
      <c r="L179" s="5">
        <v>50</v>
      </c>
      <c r="M179" s="5">
        <v>29</v>
      </c>
      <c r="N179" s="9">
        <v>16</v>
      </c>
      <c r="O179" s="46">
        <f t="shared" si="785"/>
        <v>0.13114754098360656</v>
      </c>
      <c r="P179" s="5">
        <v>4</v>
      </c>
      <c r="Q179" s="46">
        <f t="shared" ref="Q179" si="1080">IFERROR(P179/$I179,"")</f>
        <v>3.2786885245901641E-2</v>
      </c>
      <c r="R179" s="5">
        <v>45</v>
      </c>
      <c r="S179" s="46">
        <f t="shared" ref="S179" si="1081">IFERROR(R179/$I179,"")</f>
        <v>0.36885245901639346</v>
      </c>
      <c r="T179" s="5">
        <v>0</v>
      </c>
      <c r="U179" s="46">
        <f t="shared" ref="U179" si="1082">IFERROR(T179/$I179,"")</f>
        <v>0</v>
      </c>
      <c r="V179" s="5">
        <v>6</v>
      </c>
      <c r="W179" s="46">
        <f t="shared" ref="W179" si="1083">IFERROR(V179/$I179,"")</f>
        <v>4.9180327868852458E-2</v>
      </c>
      <c r="X179" s="5">
        <v>6</v>
      </c>
      <c r="Y179" s="46">
        <f t="shared" ref="Y179" si="1084">IFERROR(X179/$I179,"")</f>
        <v>4.9180327868852458E-2</v>
      </c>
      <c r="Z179" s="5">
        <v>7</v>
      </c>
      <c r="AA179" s="46">
        <f t="shared" ref="AA179" si="1085">IFERROR(Z179/$I179,"")</f>
        <v>5.737704918032787E-2</v>
      </c>
      <c r="AB179" s="5">
        <v>45</v>
      </c>
      <c r="AC179" s="46">
        <f t="shared" si="792"/>
        <v>0.26162790697674421</v>
      </c>
      <c r="AD179" s="5">
        <v>47</v>
      </c>
      <c r="AE179" s="5">
        <v>124131.58999999994</v>
      </c>
      <c r="AF179" s="5">
        <f t="shared" si="793"/>
        <v>2758.4797777777762</v>
      </c>
      <c r="AG179" s="5">
        <v>0</v>
      </c>
      <c r="AH179" s="49">
        <f t="shared" si="794"/>
        <v>0</v>
      </c>
      <c r="AI179" s="5">
        <v>0</v>
      </c>
      <c r="AJ179" s="5">
        <v>27</v>
      </c>
      <c r="AK179" s="4">
        <v>19</v>
      </c>
      <c r="AL179" s="7">
        <v>19</v>
      </c>
      <c r="AM179" s="4">
        <v>0</v>
      </c>
      <c r="AN179" s="4">
        <v>0</v>
      </c>
      <c r="AO179" s="11">
        <f t="shared" si="795"/>
        <v>100</v>
      </c>
      <c r="AP179" s="50">
        <f t="shared" si="796"/>
        <v>0.11046511627906977</v>
      </c>
      <c r="AQ179" s="7">
        <v>172</v>
      </c>
      <c r="AR179" s="50">
        <f t="shared" si="797"/>
        <v>1</v>
      </c>
      <c r="AS179" s="4"/>
    </row>
    <row r="180" spans="1:45" ht="18" customHeight="1" x14ac:dyDescent="0.3">
      <c r="A180" s="4" t="s">
        <v>39</v>
      </c>
      <c r="B180" s="4" t="s">
        <v>4</v>
      </c>
      <c r="C180" s="4" t="s">
        <v>47</v>
      </c>
      <c r="D180" s="4" t="s">
        <v>68</v>
      </c>
      <c r="E180" s="4" t="s">
        <v>69</v>
      </c>
      <c r="F180" s="7" t="s">
        <v>48</v>
      </c>
      <c r="G180" s="4" t="s">
        <v>57</v>
      </c>
      <c r="H180" s="5">
        <v>158</v>
      </c>
      <c r="I180" s="5">
        <v>133</v>
      </c>
      <c r="J180" s="6">
        <f t="shared" si="784"/>
        <v>0.84177215189873422</v>
      </c>
      <c r="K180" s="5">
        <v>67</v>
      </c>
      <c r="L180" s="5">
        <v>30</v>
      </c>
      <c r="M180" s="5">
        <v>31</v>
      </c>
      <c r="N180" s="9">
        <v>17</v>
      </c>
      <c r="O180" s="46">
        <f t="shared" si="785"/>
        <v>0.12781954887218044</v>
      </c>
      <c r="P180" s="5">
        <v>6</v>
      </c>
      <c r="Q180" s="46">
        <f t="shared" ref="Q180" si="1086">IFERROR(P180/$I180,"")</f>
        <v>4.5112781954887216E-2</v>
      </c>
      <c r="R180" s="5">
        <v>62</v>
      </c>
      <c r="S180" s="46">
        <f t="shared" ref="S180" si="1087">IFERROR(R180/$I180,"")</f>
        <v>0.46616541353383456</v>
      </c>
      <c r="T180" s="5">
        <v>2</v>
      </c>
      <c r="U180" s="46">
        <f t="shared" ref="U180" si="1088">IFERROR(T180/$I180,"")</f>
        <v>1.5037593984962405E-2</v>
      </c>
      <c r="V180" s="5">
        <v>12</v>
      </c>
      <c r="W180" s="46">
        <f t="shared" ref="W180" si="1089">IFERROR(V180/$I180,"")</f>
        <v>9.0225563909774431E-2</v>
      </c>
      <c r="X180" s="5">
        <v>19</v>
      </c>
      <c r="Y180" s="46">
        <f t="shared" ref="Y180" si="1090">IFERROR(X180/$I180,"")</f>
        <v>0.14285714285714285</v>
      </c>
      <c r="Z180" s="5">
        <v>6</v>
      </c>
      <c r="AA180" s="46">
        <f t="shared" ref="AA180" si="1091">IFERROR(Z180/$I180,"")</f>
        <v>4.5112781954887216E-2</v>
      </c>
      <c r="AB180" s="5">
        <v>77</v>
      </c>
      <c r="AC180" s="46">
        <f t="shared" si="792"/>
        <v>0.48734177215189872</v>
      </c>
      <c r="AD180" s="5">
        <v>100</v>
      </c>
      <c r="AE180" s="5">
        <v>191447.40999999989</v>
      </c>
      <c r="AF180" s="5">
        <f t="shared" si="793"/>
        <v>2486.3299999999986</v>
      </c>
      <c r="AG180" s="5">
        <v>0</v>
      </c>
      <c r="AH180" s="49">
        <f t="shared" si="794"/>
        <v>0</v>
      </c>
      <c r="AI180" s="5">
        <v>360</v>
      </c>
      <c r="AJ180" s="5">
        <v>19</v>
      </c>
      <c r="AK180" s="4">
        <v>28</v>
      </c>
      <c r="AL180" s="7">
        <v>26</v>
      </c>
      <c r="AM180" s="4">
        <v>1</v>
      </c>
      <c r="AN180" s="4">
        <v>1</v>
      </c>
      <c r="AO180" s="11">
        <f t="shared" si="795"/>
        <v>89.285714285714292</v>
      </c>
      <c r="AP180" s="50">
        <f t="shared" si="796"/>
        <v>0.17721518987341772</v>
      </c>
      <c r="AQ180" s="7">
        <v>158</v>
      </c>
      <c r="AR180" s="50">
        <f t="shared" si="797"/>
        <v>1</v>
      </c>
      <c r="AS180" s="4"/>
    </row>
    <row r="181" spans="1:45" ht="18" customHeight="1" x14ac:dyDescent="0.3">
      <c r="A181" s="4" t="s">
        <v>39</v>
      </c>
      <c r="B181" s="4" t="s">
        <v>4</v>
      </c>
      <c r="C181" s="4" t="s">
        <v>47</v>
      </c>
      <c r="D181" s="4"/>
      <c r="E181" s="4" t="s">
        <v>75</v>
      </c>
      <c r="F181" s="7" t="s">
        <v>48</v>
      </c>
      <c r="G181" s="4" t="s">
        <v>61</v>
      </c>
      <c r="H181" s="5">
        <v>133</v>
      </c>
      <c r="I181" s="5">
        <v>108</v>
      </c>
      <c r="J181" s="6">
        <f t="shared" si="784"/>
        <v>0.81203007518796988</v>
      </c>
      <c r="K181" s="5">
        <v>60</v>
      </c>
      <c r="L181" s="5">
        <v>31</v>
      </c>
      <c r="M181" s="5">
        <v>16</v>
      </c>
      <c r="N181" s="9">
        <v>8</v>
      </c>
      <c r="O181" s="46">
        <f t="shared" si="785"/>
        <v>7.407407407407407E-2</v>
      </c>
      <c r="P181" s="5">
        <v>4</v>
      </c>
      <c r="Q181" s="46">
        <f t="shared" ref="Q181" si="1092">IFERROR(P181/$I181,"")</f>
        <v>3.7037037037037035E-2</v>
      </c>
      <c r="R181" s="5">
        <v>49</v>
      </c>
      <c r="S181" s="46">
        <f t="shared" ref="S181" si="1093">IFERROR(R181/$I181,"")</f>
        <v>0.45370370370370372</v>
      </c>
      <c r="T181" s="5">
        <v>1</v>
      </c>
      <c r="U181" s="46">
        <f t="shared" ref="U181" si="1094">IFERROR(T181/$I181,"")</f>
        <v>9.2592592592592587E-3</v>
      </c>
      <c r="V181" s="5">
        <v>5</v>
      </c>
      <c r="W181" s="46">
        <f t="shared" ref="W181" si="1095">IFERROR(V181/$I181,"")</f>
        <v>4.6296296296296294E-2</v>
      </c>
      <c r="X181" s="5">
        <v>16</v>
      </c>
      <c r="Y181" s="46">
        <f t="shared" ref="Y181" si="1096">IFERROR(X181/$I181,"")</f>
        <v>0.14814814814814814</v>
      </c>
      <c r="Z181" s="5">
        <v>28</v>
      </c>
      <c r="AA181" s="46">
        <f t="shared" ref="AA181" si="1097">IFERROR(Z181/$I181,"")</f>
        <v>0.25925925925925924</v>
      </c>
      <c r="AB181" s="5">
        <v>63</v>
      </c>
      <c r="AC181" s="46">
        <f t="shared" si="792"/>
        <v>0.47368421052631576</v>
      </c>
      <c r="AD181" s="5">
        <v>66</v>
      </c>
      <c r="AE181" s="5">
        <v>118986.01999999995</v>
      </c>
      <c r="AF181" s="5">
        <f t="shared" si="793"/>
        <v>1888.6669841269834</v>
      </c>
      <c r="AG181" s="5">
        <v>324</v>
      </c>
      <c r="AH181" s="49">
        <f t="shared" si="794"/>
        <v>3</v>
      </c>
      <c r="AI181" s="5">
        <v>2972</v>
      </c>
      <c r="AJ181" s="5">
        <v>15</v>
      </c>
      <c r="AK181" s="4">
        <v>25</v>
      </c>
      <c r="AL181" s="7">
        <v>23</v>
      </c>
      <c r="AM181" s="4">
        <v>0</v>
      </c>
      <c r="AN181" s="4">
        <v>2</v>
      </c>
      <c r="AO181" s="11">
        <f t="shared" si="795"/>
        <v>84</v>
      </c>
      <c r="AP181" s="50">
        <f t="shared" si="796"/>
        <v>0.18796992481203006</v>
      </c>
      <c r="AQ181" s="7">
        <v>133</v>
      </c>
      <c r="AR181" s="50">
        <f t="shared" si="797"/>
        <v>1</v>
      </c>
      <c r="AS181" s="4"/>
    </row>
    <row r="182" spans="1:45" ht="18" customHeight="1" x14ac:dyDescent="0.3">
      <c r="A182" s="4" t="s">
        <v>39</v>
      </c>
      <c r="B182" s="4" t="s">
        <v>4</v>
      </c>
      <c r="C182" s="4" t="s">
        <v>47</v>
      </c>
      <c r="D182" s="4"/>
      <c r="E182" s="4" t="s">
        <v>153</v>
      </c>
      <c r="F182" s="7" t="s">
        <v>48</v>
      </c>
      <c r="G182" s="4" t="s">
        <v>61</v>
      </c>
      <c r="H182" s="5">
        <v>86</v>
      </c>
      <c r="I182" s="5">
        <v>92</v>
      </c>
      <c r="J182" s="6">
        <f t="shared" si="784"/>
        <v>1.069767441860465</v>
      </c>
      <c r="K182" s="5">
        <v>32</v>
      </c>
      <c r="L182" s="5">
        <v>13</v>
      </c>
      <c r="M182" s="5">
        <v>9</v>
      </c>
      <c r="N182" s="9">
        <v>5</v>
      </c>
      <c r="O182" s="46">
        <f t="shared" si="785"/>
        <v>5.434782608695652E-2</v>
      </c>
      <c r="P182" s="5">
        <v>0</v>
      </c>
      <c r="Q182" s="46">
        <f t="shared" ref="Q182" si="1098">IFERROR(P182/$I182,"")</f>
        <v>0</v>
      </c>
      <c r="R182" s="5">
        <v>50</v>
      </c>
      <c r="S182" s="46">
        <f t="shared" ref="S182" si="1099">IFERROR(R182/$I182,"")</f>
        <v>0.54347826086956519</v>
      </c>
      <c r="T182" s="5">
        <v>0</v>
      </c>
      <c r="U182" s="46">
        <f t="shared" ref="U182" si="1100">IFERROR(T182/$I182,"")</f>
        <v>0</v>
      </c>
      <c r="V182" s="5">
        <v>3</v>
      </c>
      <c r="W182" s="46">
        <f t="shared" ref="W182" si="1101">IFERROR(V182/$I182,"")</f>
        <v>3.2608695652173912E-2</v>
      </c>
      <c r="X182" s="5">
        <v>1</v>
      </c>
      <c r="Y182" s="46">
        <f t="shared" ref="Y182" si="1102">IFERROR(X182/$I182,"")</f>
        <v>1.0869565217391304E-2</v>
      </c>
      <c r="Z182" s="5">
        <v>2</v>
      </c>
      <c r="AA182" s="46">
        <f t="shared" ref="AA182" si="1103">IFERROR(Z182/$I182,"")</f>
        <v>2.1739130434782608E-2</v>
      </c>
      <c r="AB182" s="5">
        <v>49</v>
      </c>
      <c r="AC182" s="46">
        <f t="shared" si="792"/>
        <v>0.56976744186046513</v>
      </c>
      <c r="AD182" s="5">
        <v>49</v>
      </c>
      <c r="AE182" s="5">
        <v>69685.12999999999</v>
      </c>
      <c r="AF182" s="5">
        <f t="shared" si="793"/>
        <v>1422.1455102040813</v>
      </c>
      <c r="AG182" s="5">
        <v>0</v>
      </c>
      <c r="AH182" s="49">
        <f t="shared" si="794"/>
        <v>0</v>
      </c>
      <c r="AI182" s="5">
        <v>0</v>
      </c>
      <c r="AJ182" s="5">
        <v>5</v>
      </c>
      <c r="AK182" s="4">
        <v>23</v>
      </c>
      <c r="AL182" s="7">
        <v>13</v>
      </c>
      <c r="AM182" s="4">
        <v>5</v>
      </c>
      <c r="AN182" s="4">
        <v>5</v>
      </c>
      <c r="AO182" s="11">
        <f t="shared" si="795"/>
        <v>34.782608695652172</v>
      </c>
      <c r="AP182" s="50">
        <f t="shared" si="796"/>
        <v>0.26744186046511625</v>
      </c>
      <c r="AQ182" s="7">
        <v>86</v>
      </c>
      <c r="AR182" s="50">
        <f t="shared" si="797"/>
        <v>1</v>
      </c>
      <c r="AS182" s="4"/>
    </row>
    <row r="183" spans="1:45" ht="18" customHeight="1" x14ac:dyDescent="0.3">
      <c r="A183" s="4" t="s">
        <v>39</v>
      </c>
      <c r="B183" s="4" t="s">
        <v>4</v>
      </c>
      <c r="C183" s="4" t="s">
        <v>47</v>
      </c>
      <c r="D183" s="4"/>
      <c r="E183" s="4" t="s">
        <v>60</v>
      </c>
      <c r="F183" s="7" t="s">
        <v>48</v>
      </c>
      <c r="G183" s="4" t="s">
        <v>61</v>
      </c>
      <c r="H183" s="5">
        <v>118</v>
      </c>
      <c r="I183" s="5">
        <v>104</v>
      </c>
      <c r="J183" s="6">
        <f t="shared" si="784"/>
        <v>0.88135593220338981</v>
      </c>
      <c r="K183" s="5">
        <v>61</v>
      </c>
      <c r="L183" s="5">
        <v>29</v>
      </c>
      <c r="M183" s="5">
        <v>20</v>
      </c>
      <c r="N183" s="9">
        <v>4</v>
      </c>
      <c r="O183" s="46">
        <f t="shared" si="785"/>
        <v>3.8461538461538464E-2</v>
      </c>
      <c r="P183" s="5">
        <v>3</v>
      </c>
      <c r="Q183" s="46">
        <f t="shared" ref="Q183" si="1104">IFERROR(P183/$I183,"")</f>
        <v>2.8846153846153848E-2</v>
      </c>
      <c r="R183" s="5">
        <v>53</v>
      </c>
      <c r="S183" s="46">
        <f t="shared" ref="S183" si="1105">IFERROR(R183/$I183,"")</f>
        <v>0.50961538461538458</v>
      </c>
      <c r="T183" s="5">
        <v>2</v>
      </c>
      <c r="U183" s="46">
        <f t="shared" ref="U183" si="1106">IFERROR(T183/$I183,"")</f>
        <v>1.9230769230769232E-2</v>
      </c>
      <c r="V183" s="5">
        <v>12</v>
      </c>
      <c r="W183" s="46">
        <f t="shared" ref="W183" si="1107">IFERROR(V183/$I183,"")</f>
        <v>0.11538461538461539</v>
      </c>
      <c r="X183" s="5">
        <v>18</v>
      </c>
      <c r="Y183" s="46">
        <f t="shared" ref="Y183" si="1108">IFERROR(X183/$I183,"")</f>
        <v>0.17307692307692307</v>
      </c>
      <c r="Z183" s="5">
        <v>17</v>
      </c>
      <c r="AA183" s="46">
        <f t="shared" ref="AA183" si="1109">IFERROR(Z183/$I183,"")</f>
        <v>0.16346153846153846</v>
      </c>
      <c r="AB183" s="5">
        <v>69</v>
      </c>
      <c r="AC183" s="46">
        <f t="shared" si="792"/>
        <v>0.5847457627118644</v>
      </c>
      <c r="AD183" s="5">
        <v>78</v>
      </c>
      <c r="AE183" s="5">
        <v>154219.74999999994</v>
      </c>
      <c r="AF183" s="5">
        <f t="shared" si="793"/>
        <v>2235.0688405797091</v>
      </c>
      <c r="AG183" s="5">
        <v>324</v>
      </c>
      <c r="AH183" s="49">
        <f t="shared" si="794"/>
        <v>3.1153846153846154</v>
      </c>
      <c r="AI183" s="5">
        <v>0</v>
      </c>
      <c r="AJ183" s="5">
        <v>17</v>
      </c>
      <c r="AK183" s="4">
        <v>21</v>
      </c>
      <c r="AL183" s="7">
        <v>20</v>
      </c>
      <c r="AM183" s="4">
        <v>0</v>
      </c>
      <c r="AN183" s="4">
        <v>1</v>
      </c>
      <c r="AO183" s="11">
        <f t="shared" si="795"/>
        <v>90.476190476190482</v>
      </c>
      <c r="AP183" s="50">
        <f t="shared" si="796"/>
        <v>0.17796610169491525</v>
      </c>
      <c r="AQ183" s="7">
        <v>118</v>
      </c>
      <c r="AR183" s="50">
        <f t="shared" si="797"/>
        <v>1</v>
      </c>
      <c r="AS183" s="4"/>
    </row>
    <row r="184" spans="1:45" ht="18" customHeight="1" x14ac:dyDescent="0.3">
      <c r="A184" s="4" t="s">
        <v>39</v>
      </c>
      <c r="B184" s="4" t="s">
        <v>4</v>
      </c>
      <c r="C184" s="4" t="s">
        <v>47</v>
      </c>
      <c r="D184" s="4" t="s">
        <v>70</v>
      </c>
      <c r="E184" s="4" t="s">
        <v>71</v>
      </c>
      <c r="F184" s="7" t="s">
        <v>48</v>
      </c>
      <c r="G184" s="4" t="s">
        <v>72</v>
      </c>
      <c r="H184" s="5">
        <v>144</v>
      </c>
      <c r="I184" s="5">
        <v>126</v>
      </c>
      <c r="J184" s="6">
        <f t="shared" si="784"/>
        <v>0.875</v>
      </c>
      <c r="K184" s="5">
        <v>80</v>
      </c>
      <c r="L184" s="5">
        <v>45</v>
      </c>
      <c r="M184" s="5">
        <v>25</v>
      </c>
      <c r="N184" s="9">
        <v>19</v>
      </c>
      <c r="O184" s="46">
        <f t="shared" si="785"/>
        <v>0.15079365079365079</v>
      </c>
      <c r="P184" s="5">
        <v>4</v>
      </c>
      <c r="Q184" s="46">
        <f t="shared" ref="Q184" si="1110">IFERROR(P184/$I184,"")</f>
        <v>3.1746031746031744E-2</v>
      </c>
      <c r="R184" s="5">
        <v>70</v>
      </c>
      <c r="S184" s="46">
        <f t="shared" ref="S184" si="1111">IFERROR(R184/$I184,"")</f>
        <v>0.55555555555555558</v>
      </c>
      <c r="T184" s="5">
        <v>1</v>
      </c>
      <c r="U184" s="46">
        <f t="shared" ref="U184" si="1112">IFERROR(T184/$I184,"")</f>
        <v>7.9365079365079361E-3</v>
      </c>
      <c r="V184" s="5">
        <v>23</v>
      </c>
      <c r="W184" s="46">
        <f t="shared" ref="W184" si="1113">IFERROR(V184/$I184,"")</f>
        <v>0.18253968253968253</v>
      </c>
      <c r="X184" s="5">
        <v>35</v>
      </c>
      <c r="Y184" s="46">
        <f t="shared" ref="Y184" si="1114">IFERROR(X184/$I184,"")</f>
        <v>0.27777777777777779</v>
      </c>
      <c r="Z184" s="5">
        <v>12</v>
      </c>
      <c r="AA184" s="46">
        <f t="shared" ref="AA184" si="1115">IFERROR(Z184/$I184,"")</f>
        <v>9.5238095238095233E-2</v>
      </c>
      <c r="AB184" s="5">
        <v>93</v>
      </c>
      <c r="AC184" s="46">
        <f t="shared" si="792"/>
        <v>0.64583333333333337</v>
      </c>
      <c r="AD184" s="5">
        <v>110</v>
      </c>
      <c r="AE184" s="5">
        <v>220329.11999999988</v>
      </c>
      <c r="AF184" s="5">
        <f t="shared" si="793"/>
        <v>2369.1303225806437</v>
      </c>
      <c r="AG184" s="5">
        <v>324</v>
      </c>
      <c r="AH184" s="49">
        <f t="shared" si="794"/>
        <v>2.5714285714285716</v>
      </c>
      <c r="AI184" s="5">
        <v>0</v>
      </c>
      <c r="AJ184" s="5">
        <v>20</v>
      </c>
      <c r="AK184" s="4">
        <v>38</v>
      </c>
      <c r="AL184" s="7">
        <v>33</v>
      </c>
      <c r="AM184" s="4">
        <v>1</v>
      </c>
      <c r="AN184" s="4">
        <v>4</v>
      </c>
      <c r="AO184" s="11">
        <f t="shared" si="795"/>
        <v>76.31578947368422</v>
      </c>
      <c r="AP184" s="50">
        <f t="shared" si="796"/>
        <v>0.2638888888888889</v>
      </c>
      <c r="AQ184" s="7">
        <v>144</v>
      </c>
      <c r="AR184" s="50">
        <f t="shared" si="797"/>
        <v>1</v>
      </c>
      <c r="AS184" s="4"/>
    </row>
    <row r="185" spans="1:45" ht="18" customHeight="1" x14ac:dyDescent="0.3">
      <c r="A185" s="4" t="s">
        <v>39</v>
      </c>
      <c r="B185" s="4" t="s">
        <v>4</v>
      </c>
      <c r="C185" s="4" t="s">
        <v>47</v>
      </c>
      <c r="D185" s="4"/>
      <c r="E185" s="4" t="s">
        <v>62</v>
      </c>
      <c r="F185" s="7" t="s">
        <v>48</v>
      </c>
      <c r="G185" s="4" t="s">
        <v>61</v>
      </c>
      <c r="H185" s="5">
        <v>157</v>
      </c>
      <c r="I185" s="5">
        <v>142</v>
      </c>
      <c r="J185" s="6">
        <f t="shared" si="784"/>
        <v>0.90445859872611467</v>
      </c>
      <c r="K185" s="5">
        <v>79</v>
      </c>
      <c r="L185" s="5">
        <v>45</v>
      </c>
      <c r="M185" s="5">
        <v>30</v>
      </c>
      <c r="N185" s="9">
        <v>18</v>
      </c>
      <c r="O185" s="46">
        <f t="shared" si="785"/>
        <v>0.12676056338028169</v>
      </c>
      <c r="P185" s="5">
        <v>3</v>
      </c>
      <c r="Q185" s="46">
        <f t="shared" ref="Q185" si="1116">IFERROR(P185/$I185,"")</f>
        <v>2.1126760563380281E-2</v>
      </c>
      <c r="R185" s="5">
        <v>55</v>
      </c>
      <c r="S185" s="46">
        <f t="shared" ref="S185" si="1117">IFERROR(R185/$I185,"")</f>
        <v>0.38732394366197181</v>
      </c>
      <c r="T185" s="5">
        <v>0</v>
      </c>
      <c r="U185" s="46">
        <f t="shared" ref="U185" si="1118">IFERROR(T185/$I185,"")</f>
        <v>0</v>
      </c>
      <c r="V185" s="5">
        <v>25</v>
      </c>
      <c r="W185" s="46">
        <f t="shared" ref="W185" si="1119">IFERROR(V185/$I185,"")</f>
        <v>0.176056338028169</v>
      </c>
      <c r="X185" s="5">
        <v>28</v>
      </c>
      <c r="Y185" s="46">
        <f t="shared" ref="Y185" si="1120">IFERROR(X185/$I185,"")</f>
        <v>0.19718309859154928</v>
      </c>
      <c r="Z185" s="5">
        <v>20</v>
      </c>
      <c r="AA185" s="46">
        <f t="shared" ref="AA185" si="1121">IFERROR(Z185/$I185,"")</f>
        <v>0.14084507042253522</v>
      </c>
      <c r="AB185" s="5">
        <v>92</v>
      </c>
      <c r="AC185" s="46">
        <f t="shared" si="792"/>
        <v>0.5859872611464968</v>
      </c>
      <c r="AD185" s="5">
        <v>107</v>
      </c>
      <c r="AE185" s="5">
        <v>248791.44999999978</v>
      </c>
      <c r="AF185" s="5">
        <f t="shared" si="793"/>
        <v>2704.2548913043456</v>
      </c>
      <c r="AG185" s="5">
        <v>0</v>
      </c>
      <c r="AH185" s="49">
        <f t="shared" si="794"/>
        <v>0</v>
      </c>
      <c r="AI185" s="5">
        <v>347</v>
      </c>
      <c r="AJ185" s="5">
        <v>12</v>
      </c>
      <c r="AK185" s="4">
        <v>42</v>
      </c>
      <c r="AL185" s="7">
        <v>38</v>
      </c>
      <c r="AM185" s="4">
        <v>3</v>
      </c>
      <c r="AN185" s="4">
        <v>1</v>
      </c>
      <c r="AO185" s="11">
        <f t="shared" si="795"/>
        <v>88.095238095238088</v>
      </c>
      <c r="AP185" s="50">
        <f t="shared" si="796"/>
        <v>0.26751592356687898</v>
      </c>
      <c r="AQ185" s="7">
        <v>157</v>
      </c>
      <c r="AR185" s="50">
        <f t="shared" si="797"/>
        <v>1</v>
      </c>
      <c r="AS185" s="4"/>
    </row>
    <row r="186" spans="1:45" ht="18" customHeight="1" x14ac:dyDescent="0.3">
      <c r="A186" s="4" t="s">
        <v>39</v>
      </c>
      <c r="B186" s="4" t="s">
        <v>4</v>
      </c>
      <c r="C186" s="4" t="s">
        <v>47</v>
      </c>
      <c r="D186" s="4" t="s">
        <v>58</v>
      </c>
      <c r="E186" s="4" t="s">
        <v>59</v>
      </c>
      <c r="F186" s="7" t="s">
        <v>48</v>
      </c>
      <c r="G186" s="4" t="s">
        <v>57</v>
      </c>
      <c r="H186" s="5">
        <v>136</v>
      </c>
      <c r="I186" s="5">
        <v>112</v>
      </c>
      <c r="J186" s="6">
        <f t="shared" si="784"/>
        <v>0.82352941176470584</v>
      </c>
      <c r="K186" s="5">
        <v>70</v>
      </c>
      <c r="L186" s="5">
        <v>42</v>
      </c>
      <c r="M186" s="5">
        <v>21</v>
      </c>
      <c r="N186" s="9">
        <v>12</v>
      </c>
      <c r="O186" s="46">
        <f t="shared" si="785"/>
        <v>0.10714285714285714</v>
      </c>
      <c r="P186" s="5">
        <v>5</v>
      </c>
      <c r="Q186" s="46">
        <f t="shared" ref="Q186" si="1122">IFERROR(P186/$I186,"")</f>
        <v>4.4642857142857144E-2</v>
      </c>
      <c r="R186" s="5">
        <v>33</v>
      </c>
      <c r="S186" s="46">
        <f t="shared" ref="S186" si="1123">IFERROR(R186/$I186,"")</f>
        <v>0.29464285714285715</v>
      </c>
      <c r="T186" s="5">
        <v>1</v>
      </c>
      <c r="U186" s="46">
        <f t="shared" ref="U186" si="1124">IFERROR(T186/$I186,"")</f>
        <v>8.9285714285714281E-3</v>
      </c>
      <c r="V186" s="5">
        <v>17</v>
      </c>
      <c r="W186" s="46">
        <f t="shared" ref="W186" si="1125">IFERROR(V186/$I186,"")</f>
        <v>0.15178571428571427</v>
      </c>
      <c r="X186" s="5">
        <v>14</v>
      </c>
      <c r="Y186" s="46">
        <f t="shared" ref="Y186" si="1126">IFERROR(X186/$I186,"")</f>
        <v>0.125</v>
      </c>
      <c r="Z186" s="5">
        <v>10</v>
      </c>
      <c r="AA186" s="46">
        <f t="shared" ref="AA186" si="1127">IFERROR(Z186/$I186,"")</f>
        <v>8.9285714285714288E-2</v>
      </c>
      <c r="AB186" s="5">
        <v>61</v>
      </c>
      <c r="AC186" s="46">
        <f t="shared" si="792"/>
        <v>0.4485294117647059</v>
      </c>
      <c r="AD186" s="5">
        <v>69</v>
      </c>
      <c r="AE186" s="5">
        <v>127009.06999999995</v>
      </c>
      <c r="AF186" s="5">
        <f t="shared" si="793"/>
        <v>2082.1159016393435</v>
      </c>
      <c r="AG186" s="5">
        <v>400</v>
      </c>
      <c r="AH186" s="49">
        <f t="shared" si="794"/>
        <v>3.5714285714285716</v>
      </c>
      <c r="AI186" s="5">
        <v>227492</v>
      </c>
      <c r="AJ186" s="5">
        <v>13</v>
      </c>
      <c r="AK186" s="4">
        <v>20</v>
      </c>
      <c r="AL186" s="7">
        <v>15</v>
      </c>
      <c r="AM186" s="4">
        <v>3</v>
      </c>
      <c r="AN186" s="4">
        <v>2</v>
      </c>
      <c r="AO186" s="11">
        <f t="shared" si="795"/>
        <v>65</v>
      </c>
      <c r="AP186" s="50">
        <f t="shared" si="796"/>
        <v>0.14705882352941177</v>
      </c>
      <c r="AQ186" s="7">
        <v>136</v>
      </c>
      <c r="AR186" s="50">
        <f t="shared" si="797"/>
        <v>1</v>
      </c>
      <c r="AS186" s="4"/>
    </row>
    <row r="187" spans="1:45" ht="18" customHeight="1" x14ac:dyDescent="0.3">
      <c r="A187" s="4" t="s">
        <v>39</v>
      </c>
      <c r="B187" s="4" t="s">
        <v>76</v>
      </c>
      <c r="C187" s="4" t="s">
        <v>47</v>
      </c>
      <c r="D187" s="4"/>
      <c r="E187" s="4" t="s">
        <v>156</v>
      </c>
      <c r="F187" s="7" t="s">
        <v>48</v>
      </c>
      <c r="G187" s="4"/>
      <c r="H187" s="5">
        <v>89</v>
      </c>
      <c r="I187" s="5">
        <v>81</v>
      </c>
      <c r="J187" s="6">
        <f t="shared" si="784"/>
        <v>0.9101123595505618</v>
      </c>
      <c r="K187" s="5">
        <v>28</v>
      </c>
      <c r="L187" s="5">
        <v>13</v>
      </c>
      <c r="M187" s="5">
        <v>9</v>
      </c>
      <c r="N187" s="9">
        <v>0</v>
      </c>
      <c r="O187" s="46">
        <f t="shared" si="785"/>
        <v>0</v>
      </c>
      <c r="P187" s="5">
        <v>2</v>
      </c>
      <c r="Q187" s="46">
        <f t="shared" ref="Q187" si="1128">IFERROR(P187/$I187,"")</f>
        <v>2.4691358024691357E-2</v>
      </c>
      <c r="R187" s="5">
        <v>38</v>
      </c>
      <c r="S187" s="46">
        <f t="shared" ref="S187" si="1129">IFERROR(R187/$I187,"")</f>
        <v>0.46913580246913578</v>
      </c>
      <c r="T187" s="5">
        <v>0</v>
      </c>
      <c r="U187" s="46">
        <f t="shared" ref="U187" si="1130">IFERROR(T187/$I187,"")</f>
        <v>0</v>
      </c>
      <c r="V187" s="5">
        <v>10</v>
      </c>
      <c r="W187" s="46">
        <f t="shared" ref="W187" si="1131">IFERROR(V187/$I187,"")</f>
        <v>0.12345679012345678</v>
      </c>
      <c r="X187" s="5">
        <v>11</v>
      </c>
      <c r="Y187" s="46">
        <f t="shared" ref="Y187" si="1132">IFERROR(X187/$I187,"")</f>
        <v>0.13580246913580246</v>
      </c>
      <c r="Z187" s="5">
        <v>11</v>
      </c>
      <c r="AA187" s="46">
        <f t="shared" ref="AA187" si="1133">IFERROR(Z187/$I187,"")</f>
        <v>0.13580246913580246</v>
      </c>
      <c r="AB187" s="5">
        <v>34</v>
      </c>
      <c r="AC187" s="46">
        <f t="shared" si="792"/>
        <v>0.38202247191011235</v>
      </c>
      <c r="AD187" s="5">
        <v>34</v>
      </c>
      <c r="AE187" s="5">
        <v>37873.97</v>
      </c>
      <c r="AF187" s="5">
        <f t="shared" si="793"/>
        <v>1113.940294117647</v>
      </c>
      <c r="AG187" s="5">
        <v>0</v>
      </c>
      <c r="AH187" s="49">
        <f t="shared" si="794"/>
        <v>0</v>
      </c>
      <c r="AI187" s="5">
        <v>0</v>
      </c>
      <c r="AJ187" s="5">
        <v>0</v>
      </c>
      <c r="AK187" s="4">
        <v>14</v>
      </c>
      <c r="AL187" s="7">
        <v>10</v>
      </c>
      <c r="AM187" s="4">
        <v>3</v>
      </c>
      <c r="AN187" s="4">
        <v>1</v>
      </c>
      <c r="AO187" s="11">
        <f t="shared" si="795"/>
        <v>64.285714285714292</v>
      </c>
      <c r="AP187" s="50">
        <f t="shared" si="796"/>
        <v>0.15730337078651685</v>
      </c>
      <c r="AQ187" s="7">
        <v>89</v>
      </c>
      <c r="AR187" s="50">
        <f t="shared" si="797"/>
        <v>1</v>
      </c>
      <c r="AS187" s="4"/>
    </row>
    <row r="188" spans="1:45" ht="18" customHeight="1" x14ac:dyDescent="0.3">
      <c r="A188" s="4" t="s">
        <v>39</v>
      </c>
      <c r="B188" s="4" t="s">
        <v>78</v>
      </c>
      <c r="C188" s="4" t="s">
        <v>47</v>
      </c>
      <c r="D188" s="4" t="s">
        <v>79</v>
      </c>
      <c r="E188" s="4" t="s">
        <v>80</v>
      </c>
      <c r="F188" s="7" t="s">
        <v>48</v>
      </c>
      <c r="G188" s="4" t="s">
        <v>81</v>
      </c>
      <c r="H188" s="5">
        <v>118</v>
      </c>
      <c r="I188" s="5">
        <v>89</v>
      </c>
      <c r="J188" s="6">
        <f t="shared" si="784"/>
        <v>0.75423728813559321</v>
      </c>
      <c r="K188" s="5">
        <v>31</v>
      </c>
      <c r="L188" s="5">
        <v>15</v>
      </c>
      <c r="M188" s="5">
        <v>8</v>
      </c>
      <c r="N188" s="9">
        <v>7</v>
      </c>
      <c r="O188" s="46">
        <f t="shared" si="785"/>
        <v>7.8651685393258425E-2</v>
      </c>
      <c r="P188" s="5">
        <v>5</v>
      </c>
      <c r="Q188" s="46">
        <f t="shared" ref="Q188" si="1134">IFERROR(P188/$I188,"")</f>
        <v>5.6179775280898875E-2</v>
      </c>
      <c r="R188" s="5">
        <v>39</v>
      </c>
      <c r="S188" s="46">
        <f t="shared" ref="S188" si="1135">IFERROR(R188/$I188,"")</f>
        <v>0.43820224719101125</v>
      </c>
      <c r="T188" s="5">
        <v>0</v>
      </c>
      <c r="U188" s="46">
        <f t="shared" ref="U188" si="1136">IFERROR(T188/$I188,"")</f>
        <v>0</v>
      </c>
      <c r="V188" s="5">
        <v>11</v>
      </c>
      <c r="W188" s="46">
        <f t="shared" ref="W188" si="1137">IFERROR(V188/$I188,"")</f>
        <v>0.12359550561797752</v>
      </c>
      <c r="X188" s="5">
        <v>8</v>
      </c>
      <c r="Y188" s="46">
        <f t="shared" ref="Y188" si="1138">IFERROR(X188/$I188,"")</f>
        <v>8.98876404494382E-2</v>
      </c>
      <c r="Z188" s="5">
        <v>6</v>
      </c>
      <c r="AA188" s="46">
        <f t="shared" ref="AA188" si="1139">IFERROR(Z188/$I188,"")</f>
        <v>6.741573033707865E-2</v>
      </c>
      <c r="AB188" s="5">
        <v>26</v>
      </c>
      <c r="AC188" s="46">
        <f t="shared" si="792"/>
        <v>0.22033898305084745</v>
      </c>
      <c r="AD188" s="5">
        <v>34</v>
      </c>
      <c r="AE188" s="5">
        <v>47870.12</v>
      </c>
      <c r="AF188" s="5">
        <f t="shared" si="793"/>
        <v>1841.1584615384616</v>
      </c>
      <c r="AG188" s="5">
        <v>0</v>
      </c>
      <c r="AH188" s="49">
        <f t="shared" si="794"/>
        <v>0</v>
      </c>
      <c r="AI188" s="5">
        <v>0</v>
      </c>
      <c r="AJ188" s="5">
        <v>3</v>
      </c>
      <c r="AK188" s="4">
        <v>24</v>
      </c>
      <c r="AL188" s="7">
        <v>23</v>
      </c>
      <c r="AM188" s="4">
        <v>1</v>
      </c>
      <c r="AN188" s="4">
        <v>0</v>
      </c>
      <c r="AO188" s="11">
        <f t="shared" si="795"/>
        <v>95.833333333333343</v>
      </c>
      <c r="AP188" s="50">
        <f t="shared" si="796"/>
        <v>0.20338983050847459</v>
      </c>
      <c r="AQ188" s="7">
        <v>118</v>
      </c>
      <c r="AR188" s="50">
        <f t="shared" si="797"/>
        <v>1</v>
      </c>
      <c r="AS188" s="4"/>
    </row>
    <row r="189" spans="1:45" ht="18" customHeight="1" x14ac:dyDescent="0.3">
      <c r="A189" s="4" t="s">
        <v>39</v>
      </c>
      <c r="B189" s="4" t="s">
        <v>82</v>
      </c>
      <c r="C189" s="4" t="s">
        <v>83</v>
      </c>
      <c r="D189" s="4" t="s">
        <v>86</v>
      </c>
      <c r="E189" s="4" t="s">
        <v>87</v>
      </c>
      <c r="F189" s="7" t="s">
        <v>48</v>
      </c>
      <c r="G189" s="4" t="s">
        <v>88</v>
      </c>
      <c r="H189" s="5">
        <v>298</v>
      </c>
      <c r="I189" s="5">
        <v>88</v>
      </c>
      <c r="J189" s="6">
        <f t="shared" si="784"/>
        <v>0.29530201342281881</v>
      </c>
      <c r="K189" s="5">
        <v>31</v>
      </c>
      <c r="L189" s="5">
        <v>19</v>
      </c>
      <c r="M189" s="5">
        <v>7</v>
      </c>
      <c r="N189" s="9">
        <v>22</v>
      </c>
      <c r="O189" s="46">
        <f t="shared" si="785"/>
        <v>0.25</v>
      </c>
      <c r="P189" s="5">
        <v>6</v>
      </c>
      <c r="Q189" s="46">
        <f t="shared" ref="Q189" si="1140">IFERROR(P189/$I189,"")</f>
        <v>6.8181818181818177E-2</v>
      </c>
      <c r="R189" s="5">
        <v>43</v>
      </c>
      <c r="S189" s="46">
        <f t="shared" ref="S189" si="1141">IFERROR(R189/$I189,"")</f>
        <v>0.48863636363636365</v>
      </c>
      <c r="T189" s="5">
        <v>0</v>
      </c>
      <c r="U189" s="46">
        <f t="shared" ref="U189" si="1142">IFERROR(T189/$I189,"")</f>
        <v>0</v>
      </c>
      <c r="V189" s="5">
        <v>9</v>
      </c>
      <c r="W189" s="46">
        <f t="shared" ref="W189" si="1143">IFERROR(V189/$I189,"")</f>
        <v>0.10227272727272728</v>
      </c>
      <c r="X189" s="5">
        <v>10</v>
      </c>
      <c r="Y189" s="46">
        <f t="shared" ref="Y189" si="1144">IFERROR(X189/$I189,"")</f>
        <v>0.11363636363636363</v>
      </c>
      <c r="Z189" s="5">
        <v>8</v>
      </c>
      <c r="AA189" s="46">
        <f t="shared" ref="AA189" si="1145">IFERROR(Z189/$I189,"")</f>
        <v>9.0909090909090912E-2</v>
      </c>
      <c r="AB189" s="5">
        <v>33</v>
      </c>
      <c r="AC189" s="46">
        <f t="shared" si="792"/>
        <v>0.11073825503355705</v>
      </c>
      <c r="AD189" s="5">
        <v>37</v>
      </c>
      <c r="AE189" s="5">
        <v>53594.44</v>
      </c>
      <c r="AF189" s="5">
        <f t="shared" si="793"/>
        <v>1624.0739393939396</v>
      </c>
      <c r="AG189" s="5">
        <v>0</v>
      </c>
      <c r="AH189" s="49">
        <f t="shared" si="794"/>
        <v>0</v>
      </c>
      <c r="AI189" s="5">
        <v>3170</v>
      </c>
      <c r="AJ189" s="5">
        <v>7</v>
      </c>
      <c r="AK189" s="4">
        <v>34</v>
      </c>
      <c r="AL189" s="7">
        <v>31</v>
      </c>
      <c r="AM189" s="4">
        <v>2</v>
      </c>
      <c r="AN189" s="4">
        <v>1</v>
      </c>
      <c r="AO189" s="11">
        <f t="shared" si="795"/>
        <v>88.235294117647058</v>
      </c>
      <c r="AP189" s="50">
        <f t="shared" si="796"/>
        <v>0.11409395973154363</v>
      </c>
      <c r="AQ189" s="7">
        <v>298</v>
      </c>
      <c r="AR189" s="50">
        <f t="shared" si="797"/>
        <v>1</v>
      </c>
      <c r="AS189" s="4"/>
    </row>
    <row r="190" spans="1:45" ht="18" customHeight="1" x14ac:dyDescent="0.3">
      <c r="A190" s="4" t="s">
        <v>39</v>
      </c>
      <c r="B190" s="4" t="s">
        <v>82</v>
      </c>
      <c r="C190" s="4" t="s">
        <v>83</v>
      </c>
      <c r="D190" s="4"/>
      <c r="E190" s="4" t="s">
        <v>155</v>
      </c>
      <c r="F190" s="7" t="s">
        <v>48</v>
      </c>
      <c r="G190" s="4" t="s">
        <v>88</v>
      </c>
      <c r="H190" s="5">
        <v>172</v>
      </c>
      <c r="I190" s="5">
        <v>54</v>
      </c>
      <c r="J190" s="6">
        <f t="shared" si="784"/>
        <v>0.31395348837209303</v>
      </c>
      <c r="K190" s="5">
        <v>25</v>
      </c>
      <c r="L190" s="5">
        <v>16</v>
      </c>
      <c r="M190" s="5">
        <v>8</v>
      </c>
      <c r="N190" s="9">
        <v>15</v>
      </c>
      <c r="O190" s="46">
        <f t="shared" si="785"/>
        <v>0.27777777777777779</v>
      </c>
      <c r="P190" s="5">
        <v>4</v>
      </c>
      <c r="Q190" s="46">
        <f t="shared" ref="Q190" si="1146">IFERROR(P190/$I190,"")</f>
        <v>7.407407407407407E-2</v>
      </c>
      <c r="R190" s="5">
        <v>23</v>
      </c>
      <c r="S190" s="46">
        <f t="shared" ref="S190" si="1147">IFERROR(R190/$I190,"")</f>
        <v>0.42592592592592593</v>
      </c>
      <c r="T190" s="5">
        <v>0</v>
      </c>
      <c r="U190" s="46">
        <f t="shared" ref="U190" si="1148">IFERROR(T190/$I190,"")</f>
        <v>0</v>
      </c>
      <c r="V190" s="5">
        <v>8</v>
      </c>
      <c r="W190" s="46">
        <f t="shared" ref="W190" si="1149">IFERROR(V190/$I190,"")</f>
        <v>0.14814814814814814</v>
      </c>
      <c r="X190" s="5">
        <v>5</v>
      </c>
      <c r="Y190" s="46">
        <f t="shared" ref="Y190" si="1150">IFERROR(X190/$I190,"")</f>
        <v>9.2592592592592587E-2</v>
      </c>
      <c r="Z190" s="5">
        <v>4</v>
      </c>
      <c r="AA190" s="46">
        <f t="shared" ref="AA190" si="1151">IFERROR(Z190/$I190,"")</f>
        <v>7.407407407407407E-2</v>
      </c>
      <c r="AB190" s="5">
        <v>12</v>
      </c>
      <c r="AC190" s="46">
        <f t="shared" si="792"/>
        <v>6.9767441860465115E-2</v>
      </c>
      <c r="AD190" s="5">
        <v>14</v>
      </c>
      <c r="AE190" s="5">
        <v>17707.46</v>
      </c>
      <c r="AF190" s="5">
        <f t="shared" si="793"/>
        <v>1475.6216666666667</v>
      </c>
      <c r="AG190" s="5">
        <v>0</v>
      </c>
      <c r="AH190" s="49">
        <f t="shared" si="794"/>
        <v>0</v>
      </c>
      <c r="AI190" s="5">
        <v>0</v>
      </c>
      <c r="AJ190" s="5">
        <v>1</v>
      </c>
      <c r="AK190" s="4">
        <v>21</v>
      </c>
      <c r="AL190" s="7">
        <v>18</v>
      </c>
      <c r="AM190" s="4">
        <v>2</v>
      </c>
      <c r="AN190" s="4">
        <v>1</v>
      </c>
      <c r="AO190" s="11">
        <f t="shared" si="795"/>
        <v>80.952380952380949</v>
      </c>
      <c r="AP190" s="50">
        <f t="shared" si="796"/>
        <v>0.12209302325581395</v>
      </c>
      <c r="AQ190" s="7">
        <v>172</v>
      </c>
      <c r="AR190" s="50">
        <f t="shared" si="797"/>
        <v>1</v>
      </c>
      <c r="AS190" s="4"/>
    </row>
    <row r="191" spans="1:45" ht="18" customHeight="1" x14ac:dyDescent="0.3">
      <c r="A191" s="4" t="s">
        <v>39</v>
      </c>
      <c r="B191" s="4" t="s">
        <v>89</v>
      </c>
      <c r="C191" s="4" t="s">
        <v>83</v>
      </c>
      <c r="D191" s="4" t="s">
        <v>90</v>
      </c>
      <c r="E191" s="4" t="s">
        <v>91</v>
      </c>
      <c r="F191" s="7" t="s">
        <v>48</v>
      </c>
      <c r="G191" s="4" t="s">
        <v>54</v>
      </c>
      <c r="H191" s="5">
        <v>160</v>
      </c>
      <c r="I191" s="5">
        <v>90</v>
      </c>
      <c r="J191" s="6">
        <f t="shared" si="784"/>
        <v>0.5625</v>
      </c>
      <c r="K191" s="5">
        <v>35</v>
      </c>
      <c r="L191" s="5">
        <v>25</v>
      </c>
      <c r="M191" s="5">
        <v>9</v>
      </c>
      <c r="N191" s="9">
        <v>12</v>
      </c>
      <c r="O191" s="46">
        <f t="shared" si="785"/>
        <v>0.13333333333333333</v>
      </c>
      <c r="P191" s="5">
        <v>8</v>
      </c>
      <c r="Q191" s="46">
        <f t="shared" ref="Q191" si="1152">IFERROR(P191/$I191,"")</f>
        <v>8.8888888888888892E-2</v>
      </c>
      <c r="R191" s="5">
        <v>44</v>
      </c>
      <c r="S191" s="46">
        <f t="shared" ref="S191" si="1153">IFERROR(R191/$I191,"")</f>
        <v>0.48888888888888887</v>
      </c>
      <c r="T191" s="5">
        <v>2</v>
      </c>
      <c r="U191" s="46">
        <f t="shared" ref="U191" si="1154">IFERROR(T191/$I191,"")</f>
        <v>2.2222222222222223E-2</v>
      </c>
      <c r="V191" s="5">
        <v>12</v>
      </c>
      <c r="W191" s="46">
        <f t="shared" ref="W191" si="1155">IFERROR(V191/$I191,"")</f>
        <v>0.13333333333333333</v>
      </c>
      <c r="X191" s="5">
        <v>12</v>
      </c>
      <c r="Y191" s="46">
        <f t="shared" ref="Y191" si="1156">IFERROR(X191/$I191,"")</f>
        <v>0.13333333333333333</v>
      </c>
      <c r="Z191" s="5">
        <v>13</v>
      </c>
      <c r="AA191" s="46">
        <f t="shared" ref="AA191" si="1157">IFERROR(Z191/$I191,"")</f>
        <v>0.14444444444444443</v>
      </c>
      <c r="AB191" s="5">
        <v>58</v>
      </c>
      <c r="AC191" s="46">
        <f t="shared" si="792"/>
        <v>0.36249999999999999</v>
      </c>
      <c r="AD191" s="5">
        <v>72</v>
      </c>
      <c r="AE191" s="5">
        <v>71784.700000000041</v>
      </c>
      <c r="AF191" s="5">
        <f t="shared" si="793"/>
        <v>1237.667241379311</v>
      </c>
      <c r="AG191" s="5">
        <v>400</v>
      </c>
      <c r="AH191" s="49">
        <f t="shared" si="794"/>
        <v>4.4444444444444446</v>
      </c>
      <c r="AI191" s="5">
        <v>0</v>
      </c>
      <c r="AJ191" s="5">
        <v>27</v>
      </c>
      <c r="AK191" s="4">
        <v>29</v>
      </c>
      <c r="AL191" s="7">
        <v>25</v>
      </c>
      <c r="AM191" s="4">
        <v>1</v>
      </c>
      <c r="AN191" s="4">
        <v>3</v>
      </c>
      <c r="AO191" s="11">
        <f t="shared" si="795"/>
        <v>75.862068965517238</v>
      </c>
      <c r="AP191" s="50">
        <f t="shared" si="796"/>
        <v>0.18124999999999999</v>
      </c>
      <c r="AQ191" s="7">
        <v>160</v>
      </c>
      <c r="AR191" s="50">
        <f t="shared" si="797"/>
        <v>1</v>
      </c>
      <c r="AS191" s="4"/>
    </row>
    <row r="192" spans="1:45" ht="18" customHeight="1" x14ac:dyDescent="0.3">
      <c r="A192" s="4" t="s">
        <v>39</v>
      </c>
      <c r="B192" s="4" t="s">
        <v>89</v>
      </c>
      <c r="C192" s="4" t="s">
        <v>83</v>
      </c>
      <c r="D192" s="4" t="s">
        <v>92</v>
      </c>
      <c r="E192" s="4" t="s">
        <v>93</v>
      </c>
      <c r="F192" s="7" t="s">
        <v>48</v>
      </c>
      <c r="G192" s="4" t="s">
        <v>49</v>
      </c>
      <c r="H192" s="5">
        <v>180</v>
      </c>
      <c r="I192" s="5">
        <v>109</v>
      </c>
      <c r="J192" s="6">
        <f t="shared" si="784"/>
        <v>0.60555555555555551</v>
      </c>
      <c r="K192" s="5">
        <v>52</v>
      </c>
      <c r="L192" s="5">
        <v>34</v>
      </c>
      <c r="M192" s="5">
        <v>14</v>
      </c>
      <c r="N192" s="9">
        <v>20</v>
      </c>
      <c r="O192" s="46">
        <f t="shared" si="785"/>
        <v>0.1834862385321101</v>
      </c>
      <c r="P192" s="5">
        <v>6</v>
      </c>
      <c r="Q192" s="46">
        <f t="shared" ref="Q192" si="1158">IFERROR(P192/$I192,"")</f>
        <v>5.5045871559633031E-2</v>
      </c>
      <c r="R192" s="5">
        <v>73</v>
      </c>
      <c r="S192" s="46">
        <f t="shared" ref="S192" si="1159">IFERROR(R192/$I192,"")</f>
        <v>0.66972477064220182</v>
      </c>
      <c r="T192" s="5">
        <v>0</v>
      </c>
      <c r="U192" s="46">
        <f t="shared" ref="U192" si="1160">IFERROR(T192/$I192,"")</f>
        <v>0</v>
      </c>
      <c r="V192" s="5">
        <v>23</v>
      </c>
      <c r="W192" s="46">
        <f t="shared" ref="W192" si="1161">IFERROR(V192/$I192,"")</f>
        <v>0.21100917431192662</v>
      </c>
      <c r="X192" s="5">
        <v>22</v>
      </c>
      <c r="Y192" s="46">
        <f t="shared" ref="Y192" si="1162">IFERROR(X192/$I192,"")</f>
        <v>0.20183486238532111</v>
      </c>
      <c r="Z192" s="5">
        <v>6</v>
      </c>
      <c r="AA192" s="46">
        <f t="shared" ref="AA192" si="1163">IFERROR(Z192/$I192,"")</f>
        <v>5.5045871559633031E-2</v>
      </c>
      <c r="AB192" s="5">
        <v>109</v>
      </c>
      <c r="AC192" s="46">
        <f t="shared" si="792"/>
        <v>0.60555555555555551</v>
      </c>
      <c r="AD192" s="5">
        <v>118</v>
      </c>
      <c r="AE192" s="5">
        <v>165776.81</v>
      </c>
      <c r="AF192" s="5">
        <f t="shared" si="793"/>
        <v>1520.8881651376146</v>
      </c>
      <c r="AG192" s="5">
        <v>740.92</v>
      </c>
      <c r="AH192" s="49">
        <f t="shared" si="794"/>
        <v>6.7974311926605502</v>
      </c>
      <c r="AI192" s="5">
        <v>9111</v>
      </c>
      <c r="AJ192" s="5">
        <v>27</v>
      </c>
      <c r="AK192" s="4">
        <v>25</v>
      </c>
      <c r="AL192" s="7">
        <v>25</v>
      </c>
      <c r="AM192" s="4">
        <v>0</v>
      </c>
      <c r="AN192" s="4">
        <v>0</v>
      </c>
      <c r="AO192" s="11">
        <f t="shared" si="795"/>
        <v>100</v>
      </c>
      <c r="AP192" s="50">
        <f t="shared" si="796"/>
        <v>0.1388888888888889</v>
      </c>
      <c r="AQ192" s="7">
        <v>180</v>
      </c>
      <c r="AR192" s="50">
        <f t="shared" si="797"/>
        <v>1</v>
      </c>
      <c r="AS192" s="4"/>
    </row>
    <row r="193" spans="1:45" ht="18" customHeight="1" x14ac:dyDescent="0.3">
      <c r="A193" s="4" t="s">
        <v>39</v>
      </c>
      <c r="B193" s="4" t="s">
        <v>89</v>
      </c>
      <c r="C193" s="4" t="s">
        <v>83</v>
      </c>
      <c r="D193" s="4" t="s">
        <v>94</v>
      </c>
      <c r="E193" s="4" t="s">
        <v>95</v>
      </c>
      <c r="F193" s="7" t="s">
        <v>48</v>
      </c>
      <c r="G193" s="4" t="s">
        <v>81</v>
      </c>
      <c r="H193" s="5">
        <v>141</v>
      </c>
      <c r="I193" s="5">
        <v>77</v>
      </c>
      <c r="J193" s="6">
        <f t="shared" si="784"/>
        <v>0.54609929078014185</v>
      </c>
      <c r="K193" s="5">
        <v>30</v>
      </c>
      <c r="L193" s="5">
        <v>20</v>
      </c>
      <c r="M193" s="5">
        <v>8</v>
      </c>
      <c r="N193" s="9">
        <v>11</v>
      </c>
      <c r="O193" s="46">
        <f t="shared" si="785"/>
        <v>0.14285714285714285</v>
      </c>
      <c r="P193" s="5">
        <v>7</v>
      </c>
      <c r="Q193" s="46">
        <f t="shared" ref="Q193" si="1164">IFERROR(P193/$I193,"")</f>
        <v>9.0909090909090912E-2</v>
      </c>
      <c r="R193" s="5">
        <v>37</v>
      </c>
      <c r="S193" s="46">
        <f t="shared" ref="S193" si="1165">IFERROR(R193/$I193,"")</f>
        <v>0.48051948051948051</v>
      </c>
      <c r="T193" s="5">
        <v>0</v>
      </c>
      <c r="U193" s="46">
        <f t="shared" ref="U193" si="1166">IFERROR(T193/$I193,"")</f>
        <v>0</v>
      </c>
      <c r="V193" s="5">
        <v>18</v>
      </c>
      <c r="W193" s="46">
        <f t="shared" ref="W193" si="1167">IFERROR(V193/$I193,"")</f>
        <v>0.23376623376623376</v>
      </c>
      <c r="X193" s="5">
        <v>10</v>
      </c>
      <c r="Y193" s="46">
        <f t="shared" ref="Y193" si="1168">IFERROR(X193/$I193,"")</f>
        <v>0.12987012987012986</v>
      </c>
      <c r="Z193" s="5">
        <v>12</v>
      </c>
      <c r="AA193" s="46">
        <f t="shared" ref="AA193" si="1169">IFERROR(Z193/$I193,"")</f>
        <v>0.15584415584415584</v>
      </c>
      <c r="AB193" s="5">
        <v>68</v>
      </c>
      <c r="AC193" s="46">
        <f t="shared" si="792"/>
        <v>0.48226950354609927</v>
      </c>
      <c r="AD193" s="5">
        <v>83</v>
      </c>
      <c r="AE193" s="5">
        <v>124029.23999999998</v>
      </c>
      <c r="AF193" s="5">
        <f t="shared" si="793"/>
        <v>1823.9594117647055</v>
      </c>
      <c r="AG193" s="5">
        <v>830</v>
      </c>
      <c r="AH193" s="49">
        <f t="shared" si="794"/>
        <v>10.779220779220779</v>
      </c>
      <c r="AI193" s="5">
        <v>3321</v>
      </c>
      <c r="AJ193" s="5">
        <v>25</v>
      </c>
      <c r="AK193" s="4">
        <v>15</v>
      </c>
      <c r="AL193" s="7">
        <v>15</v>
      </c>
      <c r="AM193" s="4">
        <v>0</v>
      </c>
      <c r="AN193" s="4">
        <v>0</v>
      </c>
      <c r="AO193" s="11">
        <f t="shared" si="795"/>
        <v>100</v>
      </c>
      <c r="AP193" s="50">
        <f t="shared" si="796"/>
        <v>0.10638297872340426</v>
      </c>
      <c r="AQ193" s="7">
        <v>141</v>
      </c>
      <c r="AR193" s="50">
        <f t="shared" si="797"/>
        <v>1</v>
      </c>
      <c r="AS193" s="4"/>
    </row>
    <row r="194" spans="1:45" ht="18" customHeight="1" x14ac:dyDescent="0.3">
      <c r="A194" s="4" t="s">
        <v>39</v>
      </c>
      <c r="B194" s="4" t="s">
        <v>89</v>
      </c>
      <c r="C194" s="4" t="s">
        <v>83</v>
      </c>
      <c r="D194" s="4" t="s">
        <v>96</v>
      </c>
      <c r="E194" s="4" t="s">
        <v>97</v>
      </c>
      <c r="F194" s="7" t="s">
        <v>48</v>
      </c>
      <c r="G194" s="4" t="s">
        <v>65</v>
      </c>
      <c r="H194" s="5">
        <v>205</v>
      </c>
      <c r="I194" s="5">
        <v>117</v>
      </c>
      <c r="J194" s="6">
        <f t="shared" si="784"/>
        <v>0.57073170731707312</v>
      </c>
      <c r="K194" s="5">
        <v>67</v>
      </c>
      <c r="L194" s="5">
        <v>31</v>
      </c>
      <c r="M194" s="5">
        <v>28</v>
      </c>
      <c r="N194" s="9">
        <v>18</v>
      </c>
      <c r="O194" s="46">
        <f t="shared" si="785"/>
        <v>0.15384615384615385</v>
      </c>
      <c r="P194" s="5">
        <v>10</v>
      </c>
      <c r="Q194" s="46">
        <f t="shared" ref="Q194" si="1170">IFERROR(P194/$I194,"")</f>
        <v>8.5470085470085472E-2</v>
      </c>
      <c r="R194" s="5">
        <v>74</v>
      </c>
      <c r="S194" s="46">
        <f t="shared" ref="S194" si="1171">IFERROR(R194/$I194,"")</f>
        <v>0.63247863247863245</v>
      </c>
      <c r="T194" s="5">
        <v>1</v>
      </c>
      <c r="U194" s="46">
        <f t="shared" ref="U194" si="1172">IFERROR(T194/$I194,"")</f>
        <v>8.5470085470085479E-3</v>
      </c>
      <c r="V194" s="5">
        <v>16</v>
      </c>
      <c r="W194" s="46">
        <f t="shared" ref="W194" si="1173">IFERROR(V194/$I194,"")</f>
        <v>0.13675213675213677</v>
      </c>
      <c r="X194" s="5">
        <v>15</v>
      </c>
      <c r="Y194" s="46">
        <f t="shared" ref="Y194" si="1174">IFERROR(X194/$I194,"")</f>
        <v>0.12820512820512819</v>
      </c>
      <c r="Z194" s="5">
        <v>17</v>
      </c>
      <c r="AA194" s="46">
        <f t="shared" ref="AA194" si="1175">IFERROR(Z194/$I194,"")</f>
        <v>0.14529914529914531</v>
      </c>
      <c r="AB194" s="5">
        <v>96</v>
      </c>
      <c r="AC194" s="46">
        <f t="shared" si="792"/>
        <v>0.4682926829268293</v>
      </c>
      <c r="AD194" s="5">
        <v>107</v>
      </c>
      <c r="AE194" s="5">
        <v>224672.18000000005</v>
      </c>
      <c r="AF194" s="5">
        <f t="shared" si="793"/>
        <v>2340.3352083333339</v>
      </c>
      <c r="AG194" s="5">
        <v>2648.15</v>
      </c>
      <c r="AH194" s="49">
        <f t="shared" si="794"/>
        <v>22.633760683760684</v>
      </c>
      <c r="AI194" s="5">
        <v>6225</v>
      </c>
      <c r="AJ194" s="5">
        <v>29</v>
      </c>
      <c r="AK194" s="4">
        <v>26</v>
      </c>
      <c r="AL194" s="7">
        <v>22</v>
      </c>
      <c r="AM194" s="4">
        <v>1</v>
      </c>
      <c r="AN194" s="4">
        <v>3</v>
      </c>
      <c r="AO194" s="11">
        <f t="shared" si="795"/>
        <v>73.076923076923066</v>
      </c>
      <c r="AP194" s="50">
        <f t="shared" si="796"/>
        <v>0.12682926829268293</v>
      </c>
      <c r="AQ194" s="7">
        <v>205</v>
      </c>
      <c r="AR194" s="50">
        <f t="shared" si="797"/>
        <v>1</v>
      </c>
      <c r="AS194" s="4"/>
    </row>
    <row r="195" spans="1:45" ht="18" customHeight="1" x14ac:dyDescent="0.3">
      <c r="A195" s="4" t="s">
        <v>39</v>
      </c>
      <c r="B195" s="4" t="s">
        <v>98</v>
      </c>
      <c r="C195" s="4" t="s">
        <v>47</v>
      </c>
      <c r="D195" s="4" t="s">
        <v>99</v>
      </c>
      <c r="E195" s="4" t="s">
        <v>100</v>
      </c>
      <c r="F195" s="7" t="s">
        <v>48</v>
      </c>
      <c r="G195" s="4" t="s">
        <v>54</v>
      </c>
      <c r="H195" s="5">
        <v>159</v>
      </c>
      <c r="I195" s="5">
        <v>137</v>
      </c>
      <c r="J195" s="6">
        <f t="shared" ref="J195:J255" si="1176">I195/H195</f>
        <v>0.86163522012578619</v>
      </c>
      <c r="K195" s="5">
        <v>92</v>
      </c>
      <c r="L195" s="5">
        <v>53</v>
      </c>
      <c r="M195" s="5">
        <v>28</v>
      </c>
      <c r="N195" s="9">
        <v>32</v>
      </c>
      <c r="O195" s="46">
        <f t="shared" ref="O195:O255" si="1177">IFERROR(N195/$I195,"")</f>
        <v>0.23357664233576642</v>
      </c>
      <c r="P195" s="5">
        <v>7</v>
      </c>
      <c r="Q195" s="46">
        <f t="shared" ref="Q195" si="1178">IFERROR(P195/$I195,"")</f>
        <v>5.1094890510948905E-2</v>
      </c>
      <c r="R195" s="5">
        <v>78</v>
      </c>
      <c r="S195" s="46">
        <f t="shared" ref="S195" si="1179">IFERROR(R195/$I195,"")</f>
        <v>0.56934306569343063</v>
      </c>
      <c r="T195" s="5">
        <v>2</v>
      </c>
      <c r="U195" s="46">
        <f t="shared" ref="U195" si="1180">IFERROR(T195/$I195,"")</f>
        <v>1.4598540145985401E-2</v>
      </c>
      <c r="V195" s="5">
        <v>41</v>
      </c>
      <c r="W195" s="46">
        <f t="shared" ref="W195" si="1181">IFERROR(V195/$I195,"")</f>
        <v>0.29927007299270075</v>
      </c>
      <c r="X195" s="5">
        <v>34</v>
      </c>
      <c r="Y195" s="46">
        <f t="shared" ref="Y195" si="1182">IFERROR(X195/$I195,"")</f>
        <v>0.24817518248175183</v>
      </c>
      <c r="Z195" s="5">
        <v>7</v>
      </c>
      <c r="AA195" s="46">
        <f t="shared" ref="AA195" si="1183">IFERROR(Z195/$I195,"")</f>
        <v>5.1094890510948905E-2</v>
      </c>
      <c r="AB195" s="5">
        <v>99</v>
      </c>
      <c r="AC195" s="46">
        <f t="shared" ref="AC195:AC255" si="1184">IFERROR(AB195/$H195,"")</f>
        <v>0.62264150943396224</v>
      </c>
      <c r="AD195" s="5">
        <v>128</v>
      </c>
      <c r="AE195" s="5">
        <v>190871.95999999988</v>
      </c>
      <c r="AF195" s="5">
        <f t="shared" ref="AF195:AF255" si="1185">IFERROR(AE195/AB195,"")</f>
        <v>1927.9995959595947</v>
      </c>
      <c r="AG195" s="5">
        <v>404.76</v>
      </c>
      <c r="AH195" s="49">
        <f t="shared" ref="AH195:AH255" si="1186">IFERROR(AG195/$I195,"")</f>
        <v>2.9544525547445253</v>
      </c>
      <c r="AI195" s="5">
        <v>17691</v>
      </c>
      <c r="AJ195" s="5">
        <v>11</v>
      </c>
      <c r="AK195" s="4">
        <v>51</v>
      </c>
      <c r="AL195" s="7">
        <v>50</v>
      </c>
      <c r="AM195" s="4">
        <v>0</v>
      </c>
      <c r="AN195" s="4">
        <v>1</v>
      </c>
      <c r="AO195" s="11">
        <f t="shared" ref="AO195:AO255" si="1187">(AL195-AN195)/AK195*100</f>
        <v>96.078431372549019</v>
      </c>
      <c r="AP195" s="50">
        <f t="shared" ref="AP195:AP255" si="1188">IFERROR(AK195/H195,"")</f>
        <v>0.32075471698113206</v>
      </c>
      <c r="AQ195" s="7">
        <v>159</v>
      </c>
      <c r="AR195" s="50">
        <f t="shared" ref="AR195:AR255" si="1189">IFERROR(AQ195/H195,"")</f>
        <v>1</v>
      </c>
      <c r="AS195" s="4"/>
    </row>
    <row r="196" spans="1:45" ht="18" customHeight="1" x14ac:dyDescent="0.3">
      <c r="A196" s="4" t="s">
        <v>39</v>
      </c>
      <c r="B196" s="4" t="s">
        <v>98</v>
      </c>
      <c r="C196" s="4" t="s">
        <v>47</v>
      </c>
      <c r="D196" s="4" t="s">
        <v>101</v>
      </c>
      <c r="E196" s="4" t="s">
        <v>102</v>
      </c>
      <c r="F196" s="7" t="s">
        <v>48</v>
      </c>
      <c r="G196" s="4" t="s">
        <v>65</v>
      </c>
      <c r="H196" s="5">
        <v>39</v>
      </c>
      <c r="I196" s="5">
        <v>39</v>
      </c>
      <c r="J196" s="6">
        <f t="shared" si="1176"/>
        <v>1</v>
      </c>
      <c r="K196" s="5">
        <v>18</v>
      </c>
      <c r="L196" s="5">
        <v>10</v>
      </c>
      <c r="M196" s="5">
        <v>3</v>
      </c>
      <c r="N196" s="9">
        <v>0</v>
      </c>
      <c r="O196" s="46">
        <f t="shared" si="1177"/>
        <v>0</v>
      </c>
      <c r="P196" s="5">
        <v>0</v>
      </c>
      <c r="Q196" s="46">
        <f t="shared" ref="Q196" si="1190">IFERROR(P196/$I196,"")</f>
        <v>0</v>
      </c>
      <c r="R196" s="5">
        <v>8</v>
      </c>
      <c r="S196" s="46">
        <f t="shared" ref="S196" si="1191">IFERROR(R196/$I196,"")</f>
        <v>0.20512820512820512</v>
      </c>
      <c r="T196" s="5">
        <v>0</v>
      </c>
      <c r="U196" s="46">
        <f t="shared" ref="U196" si="1192">IFERROR(T196/$I196,"")</f>
        <v>0</v>
      </c>
      <c r="V196" s="5">
        <v>7</v>
      </c>
      <c r="W196" s="46">
        <f t="shared" ref="W196" si="1193">IFERROR(V196/$I196,"")</f>
        <v>0.17948717948717949</v>
      </c>
      <c r="X196" s="5">
        <v>6</v>
      </c>
      <c r="Y196" s="46">
        <f t="shared" ref="Y196" si="1194">IFERROR(X196/$I196,"")</f>
        <v>0.15384615384615385</v>
      </c>
      <c r="Z196" s="5">
        <v>3</v>
      </c>
      <c r="AA196" s="46">
        <f t="shared" ref="AA196" si="1195">IFERROR(Z196/$I196,"")</f>
        <v>7.6923076923076927E-2</v>
      </c>
      <c r="AB196" s="5">
        <v>11</v>
      </c>
      <c r="AC196" s="46">
        <f t="shared" si="1184"/>
        <v>0.28205128205128205</v>
      </c>
      <c r="AD196" s="5">
        <v>14</v>
      </c>
      <c r="AE196" s="5">
        <v>19063.23</v>
      </c>
      <c r="AF196" s="5">
        <f t="shared" si="1185"/>
        <v>1733.0209090909091</v>
      </c>
      <c r="AG196" s="5">
        <v>0</v>
      </c>
      <c r="AH196" s="49">
        <f t="shared" si="1186"/>
        <v>0</v>
      </c>
      <c r="AI196" s="5">
        <v>0</v>
      </c>
      <c r="AJ196" s="5">
        <v>4</v>
      </c>
      <c r="AK196" s="4">
        <v>1</v>
      </c>
      <c r="AL196" s="7">
        <v>1</v>
      </c>
      <c r="AM196" s="4">
        <v>0</v>
      </c>
      <c r="AN196" s="4">
        <v>0</v>
      </c>
      <c r="AO196" s="11">
        <f t="shared" si="1187"/>
        <v>100</v>
      </c>
      <c r="AP196" s="50">
        <f t="shared" si="1188"/>
        <v>2.564102564102564E-2</v>
      </c>
      <c r="AQ196" s="7">
        <v>39</v>
      </c>
      <c r="AR196" s="50">
        <f t="shared" si="1189"/>
        <v>1</v>
      </c>
      <c r="AS196" s="4"/>
    </row>
    <row r="197" spans="1:45" ht="18" customHeight="1" x14ac:dyDescent="0.3">
      <c r="A197" s="4" t="s">
        <v>39</v>
      </c>
      <c r="B197" s="4" t="s">
        <v>98</v>
      </c>
      <c r="C197" s="4" t="s">
        <v>47</v>
      </c>
      <c r="D197" s="4" t="s">
        <v>103</v>
      </c>
      <c r="E197" s="4" t="s">
        <v>104</v>
      </c>
      <c r="F197" s="7" t="s">
        <v>48</v>
      </c>
      <c r="G197" s="4" t="s">
        <v>65</v>
      </c>
      <c r="H197" s="5">
        <v>167</v>
      </c>
      <c r="I197" s="5">
        <v>138</v>
      </c>
      <c r="J197" s="6">
        <f t="shared" si="1176"/>
        <v>0.82634730538922152</v>
      </c>
      <c r="K197" s="5">
        <v>84</v>
      </c>
      <c r="L197" s="5">
        <v>37</v>
      </c>
      <c r="M197" s="5">
        <v>30</v>
      </c>
      <c r="N197" s="9">
        <v>18</v>
      </c>
      <c r="O197" s="46">
        <f t="shared" si="1177"/>
        <v>0.13043478260869565</v>
      </c>
      <c r="P197" s="5">
        <v>8</v>
      </c>
      <c r="Q197" s="46">
        <f t="shared" ref="Q197" si="1196">IFERROR(P197/$I197,"")</f>
        <v>5.7971014492753624E-2</v>
      </c>
      <c r="R197" s="5">
        <v>75</v>
      </c>
      <c r="S197" s="46">
        <f t="shared" ref="S197" si="1197">IFERROR(R197/$I197,"")</f>
        <v>0.54347826086956519</v>
      </c>
      <c r="T197" s="5">
        <v>1</v>
      </c>
      <c r="U197" s="46">
        <f t="shared" ref="U197" si="1198">IFERROR(T197/$I197,"")</f>
        <v>7.246376811594203E-3</v>
      </c>
      <c r="V197" s="5">
        <v>25</v>
      </c>
      <c r="W197" s="46">
        <f t="shared" ref="W197" si="1199">IFERROR(V197/$I197,"")</f>
        <v>0.18115942028985507</v>
      </c>
      <c r="X197" s="5">
        <v>26</v>
      </c>
      <c r="Y197" s="46">
        <f t="shared" ref="Y197" si="1200">IFERROR(X197/$I197,"")</f>
        <v>0.18840579710144928</v>
      </c>
      <c r="Z197" s="5">
        <v>21</v>
      </c>
      <c r="AA197" s="46">
        <f t="shared" ref="AA197" si="1201">IFERROR(Z197/$I197,"")</f>
        <v>0.15217391304347827</v>
      </c>
      <c r="AB197" s="5">
        <v>97</v>
      </c>
      <c r="AC197" s="46">
        <f t="shared" si="1184"/>
        <v>0.58083832335329344</v>
      </c>
      <c r="AD197" s="5">
        <v>147</v>
      </c>
      <c r="AE197" s="5">
        <v>254756.66999999978</v>
      </c>
      <c r="AF197" s="5">
        <f t="shared" si="1185"/>
        <v>2626.3574226804103</v>
      </c>
      <c r="AG197" s="5">
        <v>1047.5</v>
      </c>
      <c r="AH197" s="49">
        <f t="shared" si="1186"/>
        <v>7.5905797101449277</v>
      </c>
      <c r="AI197" s="5">
        <v>18554</v>
      </c>
      <c r="AJ197" s="5">
        <v>13</v>
      </c>
      <c r="AK197" s="4">
        <v>31</v>
      </c>
      <c r="AL197" s="7">
        <v>28</v>
      </c>
      <c r="AM197" s="4">
        <v>1</v>
      </c>
      <c r="AN197" s="4">
        <v>2</v>
      </c>
      <c r="AO197" s="11">
        <f t="shared" si="1187"/>
        <v>83.870967741935488</v>
      </c>
      <c r="AP197" s="50">
        <f t="shared" si="1188"/>
        <v>0.18562874251497005</v>
      </c>
      <c r="AQ197" s="7">
        <v>167</v>
      </c>
      <c r="AR197" s="50">
        <f t="shared" si="1189"/>
        <v>1</v>
      </c>
      <c r="AS197" s="4"/>
    </row>
    <row r="198" spans="1:45" ht="18" customHeight="1" x14ac:dyDescent="0.3">
      <c r="A198" s="4" t="s">
        <v>39</v>
      </c>
      <c r="B198" s="4" t="s">
        <v>98</v>
      </c>
      <c r="C198" s="4" t="s">
        <v>47</v>
      </c>
      <c r="D198" s="4" t="s">
        <v>109</v>
      </c>
      <c r="E198" s="4" t="s">
        <v>110</v>
      </c>
      <c r="F198" s="7" t="s">
        <v>48</v>
      </c>
      <c r="G198" s="4" t="s">
        <v>88</v>
      </c>
      <c r="H198" s="5">
        <v>154</v>
      </c>
      <c r="I198" s="5">
        <v>135</v>
      </c>
      <c r="J198" s="6">
        <f t="shared" si="1176"/>
        <v>0.87662337662337664</v>
      </c>
      <c r="K198" s="5">
        <v>62</v>
      </c>
      <c r="L198" s="5">
        <v>34</v>
      </c>
      <c r="M198" s="5">
        <v>23</v>
      </c>
      <c r="N198" s="9">
        <v>20</v>
      </c>
      <c r="O198" s="46">
        <f t="shared" si="1177"/>
        <v>0.14814814814814814</v>
      </c>
      <c r="P198" s="5">
        <v>8</v>
      </c>
      <c r="Q198" s="46">
        <f t="shared" ref="Q198" si="1202">IFERROR(P198/$I198,"")</f>
        <v>5.9259259259259262E-2</v>
      </c>
      <c r="R198" s="5">
        <v>74</v>
      </c>
      <c r="S198" s="46">
        <f t="shared" ref="S198" si="1203">IFERROR(R198/$I198,"")</f>
        <v>0.54814814814814816</v>
      </c>
      <c r="T198" s="5">
        <v>3</v>
      </c>
      <c r="U198" s="46">
        <f t="shared" ref="U198" si="1204">IFERROR(T198/$I198,"")</f>
        <v>2.2222222222222223E-2</v>
      </c>
      <c r="V198" s="5">
        <v>32</v>
      </c>
      <c r="W198" s="46">
        <f t="shared" ref="W198" si="1205">IFERROR(V198/$I198,"")</f>
        <v>0.23703703703703705</v>
      </c>
      <c r="X198" s="5">
        <v>19</v>
      </c>
      <c r="Y198" s="46">
        <f t="shared" ref="Y198" si="1206">IFERROR(X198/$I198,"")</f>
        <v>0.14074074074074075</v>
      </c>
      <c r="Z198" s="5">
        <v>10</v>
      </c>
      <c r="AA198" s="46">
        <f t="shared" ref="AA198" si="1207">IFERROR(Z198/$I198,"")</f>
        <v>7.407407407407407E-2</v>
      </c>
      <c r="AB198" s="5">
        <v>86</v>
      </c>
      <c r="AC198" s="46">
        <f t="shared" si="1184"/>
        <v>0.55844155844155841</v>
      </c>
      <c r="AD198" s="5">
        <v>132</v>
      </c>
      <c r="AE198" s="5">
        <v>210907.46999999991</v>
      </c>
      <c r="AF198" s="5">
        <f t="shared" si="1185"/>
        <v>2452.4124418604642</v>
      </c>
      <c r="AG198" s="5">
        <v>1243.74</v>
      </c>
      <c r="AH198" s="49">
        <f t="shared" si="1186"/>
        <v>9.2128888888888891</v>
      </c>
      <c r="AI198" s="5">
        <v>5684</v>
      </c>
      <c r="AJ198" s="5">
        <v>10</v>
      </c>
      <c r="AK198" s="4">
        <v>24</v>
      </c>
      <c r="AL198" s="7">
        <v>21</v>
      </c>
      <c r="AM198" s="4">
        <v>1</v>
      </c>
      <c r="AN198" s="4">
        <v>2</v>
      </c>
      <c r="AO198" s="11">
        <f t="shared" si="1187"/>
        <v>79.166666666666657</v>
      </c>
      <c r="AP198" s="50">
        <f t="shared" si="1188"/>
        <v>0.15584415584415584</v>
      </c>
      <c r="AQ198" s="7">
        <v>154</v>
      </c>
      <c r="AR198" s="50">
        <f t="shared" si="1189"/>
        <v>1</v>
      </c>
      <c r="AS198" s="4"/>
    </row>
    <row r="199" spans="1:45" ht="18" customHeight="1" x14ac:dyDescent="0.3">
      <c r="A199" s="4" t="s">
        <v>39</v>
      </c>
      <c r="B199" s="4" t="s">
        <v>98</v>
      </c>
      <c r="C199" s="4" t="s">
        <v>47</v>
      </c>
      <c r="D199" s="4" t="s">
        <v>107</v>
      </c>
      <c r="E199" s="4" t="s">
        <v>108</v>
      </c>
      <c r="F199" s="7" t="s">
        <v>48</v>
      </c>
      <c r="G199" s="4" t="s">
        <v>81</v>
      </c>
      <c r="H199" s="5">
        <v>143</v>
      </c>
      <c r="I199" s="5">
        <v>124</v>
      </c>
      <c r="J199" s="6">
        <f t="shared" si="1176"/>
        <v>0.86713286713286708</v>
      </c>
      <c r="K199" s="5">
        <v>70</v>
      </c>
      <c r="L199" s="5">
        <v>41</v>
      </c>
      <c r="M199" s="5">
        <v>24</v>
      </c>
      <c r="N199" s="9">
        <v>11</v>
      </c>
      <c r="O199" s="46">
        <f t="shared" si="1177"/>
        <v>8.8709677419354843E-2</v>
      </c>
      <c r="P199" s="5">
        <v>6</v>
      </c>
      <c r="Q199" s="46">
        <f t="shared" ref="Q199" si="1208">IFERROR(P199/$I199,"")</f>
        <v>4.8387096774193547E-2</v>
      </c>
      <c r="R199" s="5">
        <v>63</v>
      </c>
      <c r="S199" s="46">
        <f t="shared" ref="S199" si="1209">IFERROR(R199/$I199,"")</f>
        <v>0.50806451612903225</v>
      </c>
      <c r="T199" s="5">
        <v>2</v>
      </c>
      <c r="U199" s="46">
        <f t="shared" ref="U199" si="1210">IFERROR(T199/$I199,"")</f>
        <v>1.6129032258064516E-2</v>
      </c>
      <c r="V199" s="5">
        <v>34</v>
      </c>
      <c r="W199" s="46">
        <f t="shared" ref="W199" si="1211">IFERROR(V199/$I199,"")</f>
        <v>0.27419354838709675</v>
      </c>
      <c r="X199" s="5">
        <v>25</v>
      </c>
      <c r="Y199" s="46">
        <f t="shared" ref="Y199" si="1212">IFERROR(X199/$I199,"")</f>
        <v>0.20161290322580644</v>
      </c>
      <c r="Z199" s="5">
        <v>16</v>
      </c>
      <c r="AA199" s="46">
        <f t="shared" ref="AA199" si="1213">IFERROR(Z199/$I199,"")</f>
        <v>0.12903225806451613</v>
      </c>
      <c r="AB199" s="5">
        <v>94</v>
      </c>
      <c r="AC199" s="46">
        <f t="shared" si="1184"/>
        <v>0.65734265734265729</v>
      </c>
      <c r="AD199" s="5">
        <v>157</v>
      </c>
      <c r="AE199" s="5">
        <v>284355.15000000002</v>
      </c>
      <c r="AF199" s="5">
        <f t="shared" si="1185"/>
        <v>3025.0547872340426</v>
      </c>
      <c r="AG199" s="5">
        <v>2416.0500000000002</v>
      </c>
      <c r="AH199" s="49">
        <f t="shared" si="1186"/>
        <v>19.484274193548387</v>
      </c>
      <c r="AI199" s="5">
        <v>14163</v>
      </c>
      <c r="AJ199" s="5">
        <v>26</v>
      </c>
      <c r="AK199" s="4">
        <v>20</v>
      </c>
      <c r="AL199" s="7">
        <v>20</v>
      </c>
      <c r="AM199" s="4">
        <v>0</v>
      </c>
      <c r="AN199" s="4">
        <v>0</v>
      </c>
      <c r="AO199" s="11">
        <f t="shared" si="1187"/>
        <v>100</v>
      </c>
      <c r="AP199" s="50">
        <f t="shared" si="1188"/>
        <v>0.13986013986013987</v>
      </c>
      <c r="AQ199" s="7">
        <v>143</v>
      </c>
      <c r="AR199" s="50">
        <f t="shared" si="1189"/>
        <v>1</v>
      </c>
      <c r="AS199" s="4"/>
    </row>
    <row r="200" spans="1:45" ht="18" customHeight="1" x14ac:dyDescent="0.3">
      <c r="A200" s="4" t="s">
        <v>39</v>
      </c>
      <c r="B200" s="4" t="s">
        <v>98</v>
      </c>
      <c r="C200" s="4" t="s">
        <v>47</v>
      </c>
      <c r="D200" s="4" t="s">
        <v>111</v>
      </c>
      <c r="E200" s="4" t="s">
        <v>112</v>
      </c>
      <c r="F200" s="7" t="s">
        <v>48</v>
      </c>
      <c r="G200" s="4" t="s">
        <v>61</v>
      </c>
      <c r="H200" s="5">
        <v>145</v>
      </c>
      <c r="I200" s="5">
        <v>131</v>
      </c>
      <c r="J200" s="6">
        <f t="shared" si="1176"/>
        <v>0.90344827586206899</v>
      </c>
      <c r="K200" s="5">
        <v>58</v>
      </c>
      <c r="L200" s="5">
        <v>30</v>
      </c>
      <c r="M200" s="5">
        <v>25</v>
      </c>
      <c r="N200" s="9">
        <v>25</v>
      </c>
      <c r="O200" s="46">
        <f t="shared" si="1177"/>
        <v>0.19083969465648856</v>
      </c>
      <c r="P200" s="5">
        <v>7</v>
      </c>
      <c r="Q200" s="46">
        <f t="shared" ref="Q200" si="1214">IFERROR(P200/$I200,"")</f>
        <v>5.3435114503816793E-2</v>
      </c>
      <c r="R200" s="5">
        <v>67</v>
      </c>
      <c r="S200" s="46">
        <f t="shared" ref="S200" si="1215">IFERROR(R200/$I200,"")</f>
        <v>0.51145038167938928</v>
      </c>
      <c r="T200" s="5">
        <v>1</v>
      </c>
      <c r="U200" s="46">
        <f t="shared" ref="U200" si="1216">IFERROR(T200/$I200,"")</f>
        <v>7.6335877862595417E-3</v>
      </c>
      <c r="V200" s="5">
        <v>28</v>
      </c>
      <c r="W200" s="46">
        <f t="shared" ref="W200" si="1217">IFERROR(V200/$I200,"")</f>
        <v>0.21374045801526717</v>
      </c>
      <c r="X200" s="5">
        <v>36</v>
      </c>
      <c r="Y200" s="46">
        <f t="shared" ref="Y200" si="1218">IFERROR(X200/$I200,"")</f>
        <v>0.27480916030534353</v>
      </c>
      <c r="Z200" s="5">
        <v>12</v>
      </c>
      <c r="AA200" s="46">
        <f t="shared" ref="AA200" si="1219">IFERROR(Z200/$I200,"")</f>
        <v>9.1603053435114504E-2</v>
      </c>
      <c r="AB200" s="5">
        <v>96</v>
      </c>
      <c r="AC200" s="46">
        <f t="shared" si="1184"/>
        <v>0.66206896551724137</v>
      </c>
      <c r="AD200" s="5">
        <v>170</v>
      </c>
      <c r="AE200" s="5">
        <v>251990.82999999978</v>
      </c>
      <c r="AF200" s="5">
        <f t="shared" si="1185"/>
        <v>2624.9044791666643</v>
      </c>
      <c r="AG200" s="5">
        <v>809.52</v>
      </c>
      <c r="AH200" s="49">
        <f t="shared" si="1186"/>
        <v>6.1795419847328246</v>
      </c>
      <c r="AI200" s="5">
        <v>538</v>
      </c>
      <c r="AJ200" s="5">
        <v>10</v>
      </c>
      <c r="AK200" s="4">
        <v>26</v>
      </c>
      <c r="AL200" s="7">
        <v>24</v>
      </c>
      <c r="AM200" s="4">
        <v>2</v>
      </c>
      <c r="AN200" s="4">
        <v>0</v>
      </c>
      <c r="AO200" s="11">
        <f t="shared" si="1187"/>
        <v>92.307692307692307</v>
      </c>
      <c r="AP200" s="50">
        <f t="shared" si="1188"/>
        <v>0.1793103448275862</v>
      </c>
      <c r="AQ200" s="7">
        <v>145</v>
      </c>
      <c r="AR200" s="50">
        <f t="shared" si="1189"/>
        <v>1</v>
      </c>
      <c r="AS200" s="4"/>
    </row>
    <row r="201" spans="1:45" ht="18" customHeight="1" x14ac:dyDescent="0.3">
      <c r="A201" s="4" t="s">
        <v>39</v>
      </c>
      <c r="B201" s="4" t="s">
        <v>98</v>
      </c>
      <c r="C201" s="4" t="s">
        <v>47</v>
      </c>
      <c r="D201" s="4" t="s">
        <v>113</v>
      </c>
      <c r="E201" s="4" t="s">
        <v>114</v>
      </c>
      <c r="F201" s="7" t="s">
        <v>48</v>
      </c>
      <c r="G201" s="4" t="s">
        <v>61</v>
      </c>
      <c r="H201" s="5">
        <v>145</v>
      </c>
      <c r="I201" s="5">
        <v>131</v>
      </c>
      <c r="J201" s="6">
        <f t="shared" si="1176"/>
        <v>0.90344827586206899</v>
      </c>
      <c r="K201" s="5">
        <v>73</v>
      </c>
      <c r="L201" s="5">
        <v>35</v>
      </c>
      <c r="M201" s="5">
        <v>24</v>
      </c>
      <c r="N201" s="9">
        <v>14</v>
      </c>
      <c r="O201" s="46">
        <f t="shared" si="1177"/>
        <v>0.10687022900763359</v>
      </c>
      <c r="P201" s="5">
        <v>4</v>
      </c>
      <c r="Q201" s="46">
        <f t="shared" ref="Q201" si="1220">IFERROR(P201/$I201,"")</f>
        <v>3.0534351145038167E-2</v>
      </c>
      <c r="R201" s="5">
        <v>37</v>
      </c>
      <c r="S201" s="46">
        <f t="shared" ref="S201" si="1221">IFERROR(R201/$I201,"")</f>
        <v>0.28244274809160308</v>
      </c>
      <c r="T201" s="5">
        <v>0</v>
      </c>
      <c r="U201" s="46">
        <f t="shared" ref="U201" si="1222">IFERROR(T201/$I201,"")</f>
        <v>0</v>
      </c>
      <c r="V201" s="5">
        <v>10</v>
      </c>
      <c r="W201" s="46">
        <f t="shared" ref="W201" si="1223">IFERROR(V201/$I201,"")</f>
        <v>7.6335877862595422E-2</v>
      </c>
      <c r="X201" s="5">
        <v>17</v>
      </c>
      <c r="Y201" s="46">
        <f t="shared" ref="Y201" si="1224">IFERROR(X201/$I201,"")</f>
        <v>0.12977099236641221</v>
      </c>
      <c r="Z201" s="5">
        <v>14</v>
      </c>
      <c r="AA201" s="46">
        <f t="shared" ref="AA201" si="1225">IFERROR(Z201/$I201,"")</f>
        <v>0.10687022900763359</v>
      </c>
      <c r="AB201" s="5">
        <v>88</v>
      </c>
      <c r="AC201" s="46">
        <f t="shared" si="1184"/>
        <v>0.60689655172413792</v>
      </c>
      <c r="AD201" s="5">
        <v>117</v>
      </c>
      <c r="AE201" s="5">
        <v>150686.83999999997</v>
      </c>
      <c r="AF201" s="5">
        <f t="shared" si="1185"/>
        <v>1712.3504545454541</v>
      </c>
      <c r="AG201" s="5">
        <v>0</v>
      </c>
      <c r="AH201" s="49">
        <f t="shared" si="1186"/>
        <v>0</v>
      </c>
      <c r="AI201" s="5">
        <v>5861</v>
      </c>
      <c r="AJ201" s="5">
        <v>17</v>
      </c>
      <c r="AK201" s="4">
        <v>12</v>
      </c>
      <c r="AL201" s="7">
        <v>11</v>
      </c>
      <c r="AM201" s="4">
        <v>1</v>
      </c>
      <c r="AN201" s="4">
        <v>0</v>
      </c>
      <c r="AO201" s="11">
        <f t="shared" si="1187"/>
        <v>91.666666666666657</v>
      </c>
      <c r="AP201" s="50">
        <f t="shared" si="1188"/>
        <v>8.2758620689655171E-2</v>
      </c>
      <c r="AQ201" s="7">
        <v>145</v>
      </c>
      <c r="AR201" s="50">
        <f t="shared" si="1189"/>
        <v>1</v>
      </c>
      <c r="AS201" s="4"/>
    </row>
    <row r="202" spans="1:45" ht="18" customHeight="1" x14ac:dyDescent="0.3">
      <c r="A202" s="4" t="s">
        <v>39</v>
      </c>
      <c r="B202" s="4" t="s">
        <v>98</v>
      </c>
      <c r="C202" s="4" t="s">
        <v>47</v>
      </c>
      <c r="D202" s="4"/>
      <c r="E202" s="4" t="s">
        <v>148</v>
      </c>
      <c r="F202" s="7" t="s">
        <v>48</v>
      </c>
      <c r="G202" s="4" t="s">
        <v>61</v>
      </c>
      <c r="H202" s="5">
        <v>123</v>
      </c>
      <c r="I202" s="5">
        <v>109</v>
      </c>
      <c r="J202" s="6">
        <f t="shared" si="1176"/>
        <v>0.88617886178861793</v>
      </c>
      <c r="K202" s="5">
        <v>49</v>
      </c>
      <c r="L202" s="5">
        <v>24</v>
      </c>
      <c r="M202" s="5">
        <v>14</v>
      </c>
      <c r="N202" s="9">
        <v>0</v>
      </c>
      <c r="O202" s="46">
        <f t="shared" si="1177"/>
        <v>0</v>
      </c>
      <c r="P202" s="5">
        <v>2</v>
      </c>
      <c r="Q202" s="46">
        <f t="shared" ref="Q202" si="1226">IFERROR(P202/$I202,"")</f>
        <v>1.834862385321101E-2</v>
      </c>
      <c r="R202" s="5">
        <v>36</v>
      </c>
      <c r="S202" s="46">
        <f t="shared" ref="S202" si="1227">IFERROR(R202/$I202,"")</f>
        <v>0.33027522935779818</v>
      </c>
      <c r="T202" s="5">
        <v>1</v>
      </c>
      <c r="U202" s="46">
        <f t="shared" ref="U202" si="1228">IFERROR(T202/$I202,"")</f>
        <v>9.1743119266055051E-3</v>
      </c>
      <c r="V202" s="5">
        <v>12</v>
      </c>
      <c r="W202" s="46">
        <f t="shared" ref="W202" si="1229">IFERROR(V202/$I202,"")</f>
        <v>0.11009174311926606</v>
      </c>
      <c r="X202" s="5">
        <v>16</v>
      </c>
      <c r="Y202" s="46">
        <f t="shared" ref="Y202" si="1230">IFERROR(X202/$I202,"")</f>
        <v>0.14678899082568808</v>
      </c>
      <c r="Z202" s="5">
        <v>24</v>
      </c>
      <c r="AA202" s="46">
        <f t="shared" ref="AA202" si="1231">IFERROR(Z202/$I202,"")</f>
        <v>0.22018348623853212</v>
      </c>
      <c r="AB202" s="5">
        <v>46</v>
      </c>
      <c r="AC202" s="46">
        <f t="shared" si="1184"/>
        <v>0.37398373983739835</v>
      </c>
      <c r="AD202" s="5">
        <v>68</v>
      </c>
      <c r="AE202" s="5">
        <v>88872.38</v>
      </c>
      <c r="AF202" s="5">
        <f t="shared" si="1185"/>
        <v>1932.0082608695652</v>
      </c>
      <c r="AG202" s="5">
        <v>404.76</v>
      </c>
      <c r="AH202" s="49">
        <f t="shared" si="1186"/>
        <v>3.7133944954128442</v>
      </c>
      <c r="AI202" s="5">
        <v>0</v>
      </c>
      <c r="AJ202" s="5">
        <v>10</v>
      </c>
      <c r="AK202" s="4">
        <v>11</v>
      </c>
      <c r="AL202" s="7">
        <v>4</v>
      </c>
      <c r="AM202" s="4">
        <v>4</v>
      </c>
      <c r="AN202" s="4">
        <v>3</v>
      </c>
      <c r="AO202" s="11">
        <f t="shared" si="1187"/>
        <v>9.0909090909090917</v>
      </c>
      <c r="AP202" s="50">
        <f t="shared" si="1188"/>
        <v>8.943089430894309E-2</v>
      </c>
      <c r="AQ202" s="7">
        <v>123</v>
      </c>
      <c r="AR202" s="50">
        <f t="shared" si="1189"/>
        <v>1</v>
      </c>
      <c r="AS202" s="4"/>
    </row>
    <row r="203" spans="1:45" ht="18" customHeight="1" x14ac:dyDescent="0.3">
      <c r="A203" s="4" t="s">
        <v>39</v>
      </c>
      <c r="B203" s="4" t="s">
        <v>98</v>
      </c>
      <c r="C203" s="4" t="s">
        <v>47</v>
      </c>
      <c r="D203" s="4"/>
      <c r="E203" s="4" t="s">
        <v>157</v>
      </c>
      <c r="F203" s="7" t="s">
        <v>48</v>
      </c>
      <c r="G203" s="4" t="s">
        <v>61</v>
      </c>
      <c r="H203" s="5">
        <v>61</v>
      </c>
      <c r="I203" s="5">
        <v>61</v>
      </c>
      <c r="J203" s="6">
        <f t="shared" si="1176"/>
        <v>1</v>
      </c>
      <c r="K203" s="5">
        <v>22</v>
      </c>
      <c r="L203" s="5">
        <v>10</v>
      </c>
      <c r="M203" s="5">
        <v>9</v>
      </c>
      <c r="N203" s="9">
        <v>4</v>
      </c>
      <c r="O203" s="46">
        <f t="shared" si="1177"/>
        <v>6.5573770491803282E-2</v>
      </c>
      <c r="P203" s="5">
        <v>2</v>
      </c>
      <c r="Q203" s="46">
        <f t="shared" ref="Q203" si="1232">IFERROR(P203/$I203,"")</f>
        <v>3.2786885245901641E-2</v>
      </c>
      <c r="R203" s="5">
        <v>22</v>
      </c>
      <c r="S203" s="46">
        <f t="shared" ref="S203" si="1233">IFERROR(R203/$I203,"")</f>
        <v>0.36065573770491804</v>
      </c>
      <c r="T203" s="5">
        <v>2</v>
      </c>
      <c r="U203" s="46">
        <f t="shared" ref="U203" si="1234">IFERROR(T203/$I203,"")</f>
        <v>3.2786885245901641E-2</v>
      </c>
      <c r="V203" s="5">
        <v>8</v>
      </c>
      <c r="W203" s="46">
        <f t="shared" ref="W203" si="1235">IFERROR(V203/$I203,"")</f>
        <v>0.13114754098360656</v>
      </c>
      <c r="X203" s="5">
        <v>9</v>
      </c>
      <c r="Y203" s="46">
        <f t="shared" ref="Y203" si="1236">IFERROR(X203/$I203,"")</f>
        <v>0.14754098360655737</v>
      </c>
      <c r="Z203" s="5">
        <v>4</v>
      </c>
      <c r="AA203" s="46">
        <f t="shared" ref="AA203" si="1237">IFERROR(Z203/$I203,"")</f>
        <v>6.5573770491803282E-2</v>
      </c>
      <c r="AB203" s="5">
        <v>37</v>
      </c>
      <c r="AC203" s="46">
        <f t="shared" si="1184"/>
        <v>0.60655737704918034</v>
      </c>
      <c r="AD203" s="5">
        <v>70</v>
      </c>
      <c r="AE203" s="5">
        <v>144574.31</v>
      </c>
      <c r="AF203" s="5">
        <f t="shared" si="1185"/>
        <v>3907.4137837837839</v>
      </c>
      <c r="AG203" s="5">
        <v>760.95</v>
      </c>
      <c r="AH203" s="49">
        <f t="shared" si="1186"/>
        <v>12.474590163934426</v>
      </c>
      <c r="AI203" s="5">
        <v>4987</v>
      </c>
      <c r="AJ203" s="5">
        <v>4</v>
      </c>
      <c r="AK203" s="4">
        <v>4</v>
      </c>
      <c r="AL203" s="7">
        <v>4</v>
      </c>
      <c r="AM203" s="4">
        <v>0</v>
      </c>
      <c r="AN203" s="4">
        <v>0</v>
      </c>
      <c r="AO203" s="11">
        <f t="shared" si="1187"/>
        <v>100</v>
      </c>
      <c r="AP203" s="50">
        <f t="shared" si="1188"/>
        <v>6.5573770491803282E-2</v>
      </c>
      <c r="AQ203" s="7">
        <v>61</v>
      </c>
      <c r="AR203" s="50">
        <f t="shared" si="1189"/>
        <v>1</v>
      </c>
      <c r="AS203" s="4"/>
    </row>
    <row r="204" spans="1:45" ht="18" customHeight="1" x14ac:dyDescent="0.3">
      <c r="A204" s="4" t="s">
        <v>39</v>
      </c>
      <c r="B204" s="4" t="s">
        <v>115</v>
      </c>
      <c r="C204" s="4" t="s">
        <v>47</v>
      </c>
      <c r="D204" s="4" t="s">
        <v>105</v>
      </c>
      <c r="E204" s="4" t="s">
        <v>106</v>
      </c>
      <c r="F204" s="7" t="s">
        <v>48</v>
      </c>
      <c r="G204" s="4" t="s">
        <v>72</v>
      </c>
      <c r="H204" s="5">
        <v>171</v>
      </c>
      <c r="I204" s="5">
        <v>172</v>
      </c>
      <c r="J204" s="6">
        <f t="shared" si="1176"/>
        <v>1.0058479532163742</v>
      </c>
      <c r="K204" s="5">
        <v>5</v>
      </c>
      <c r="L204" s="5">
        <v>3</v>
      </c>
      <c r="M204" s="5">
        <v>0</v>
      </c>
      <c r="N204" s="9">
        <v>2</v>
      </c>
      <c r="O204" s="46">
        <f t="shared" si="1177"/>
        <v>1.1627906976744186E-2</v>
      </c>
      <c r="P204" s="5">
        <v>5</v>
      </c>
      <c r="Q204" s="46">
        <f t="shared" ref="Q204" si="1238">IFERROR(P204/$I204,"")</f>
        <v>2.9069767441860465E-2</v>
      </c>
      <c r="R204" s="5">
        <v>66</v>
      </c>
      <c r="S204" s="46">
        <f t="shared" ref="S204" si="1239">IFERROR(R204/$I204,"")</f>
        <v>0.38372093023255816</v>
      </c>
      <c r="T204" s="5">
        <v>2</v>
      </c>
      <c r="U204" s="46">
        <f t="shared" ref="U204" si="1240">IFERROR(T204/$I204,"")</f>
        <v>1.1627906976744186E-2</v>
      </c>
      <c r="V204" s="5">
        <v>22</v>
      </c>
      <c r="W204" s="46">
        <f t="shared" ref="W204" si="1241">IFERROR(V204/$I204,"")</f>
        <v>0.12790697674418605</v>
      </c>
      <c r="X204" s="5">
        <v>15</v>
      </c>
      <c r="Y204" s="46">
        <f t="shared" ref="Y204" si="1242">IFERROR(X204/$I204,"")</f>
        <v>8.7209302325581398E-2</v>
      </c>
      <c r="Z204" s="5">
        <v>6</v>
      </c>
      <c r="AA204" s="46">
        <f t="shared" ref="AA204" si="1243">IFERROR(Z204/$I204,"")</f>
        <v>3.4883720930232558E-2</v>
      </c>
      <c r="AB204" s="5">
        <v>80</v>
      </c>
      <c r="AC204" s="46">
        <f t="shared" si="1184"/>
        <v>0.46783625730994149</v>
      </c>
      <c r="AD204" s="5">
        <v>80</v>
      </c>
      <c r="AE204" s="5">
        <v>107048.76000000002</v>
      </c>
      <c r="AF204" s="5">
        <f t="shared" si="1185"/>
        <v>1338.1095000000003</v>
      </c>
      <c r="AG204" s="5">
        <v>404.76</v>
      </c>
      <c r="AH204" s="49">
        <f t="shared" si="1186"/>
        <v>2.3532558139534885</v>
      </c>
      <c r="AI204" s="5">
        <v>21809</v>
      </c>
      <c r="AJ204" s="5">
        <v>10</v>
      </c>
      <c r="AK204" s="4">
        <v>4</v>
      </c>
      <c r="AL204" s="7">
        <v>3</v>
      </c>
      <c r="AM204" s="4">
        <v>0</v>
      </c>
      <c r="AN204" s="4">
        <v>1</v>
      </c>
      <c r="AO204" s="11">
        <f t="shared" si="1187"/>
        <v>50</v>
      </c>
      <c r="AP204" s="50">
        <f t="shared" si="1188"/>
        <v>2.3391812865497075E-2</v>
      </c>
      <c r="AQ204" s="7">
        <v>171</v>
      </c>
      <c r="AR204" s="50">
        <f t="shared" si="1189"/>
        <v>1</v>
      </c>
      <c r="AS204" s="4"/>
    </row>
    <row r="205" spans="1:45" ht="18" customHeight="1" x14ac:dyDescent="0.3">
      <c r="A205" s="4" t="s">
        <v>39</v>
      </c>
      <c r="B205" s="4" t="s">
        <v>118</v>
      </c>
      <c r="C205" s="4" t="s">
        <v>47</v>
      </c>
      <c r="D205" s="4" t="s">
        <v>119</v>
      </c>
      <c r="E205" s="4" t="s">
        <v>120</v>
      </c>
      <c r="F205" s="7" t="s">
        <v>48</v>
      </c>
      <c r="G205" s="4" t="s">
        <v>72</v>
      </c>
      <c r="H205" s="5">
        <v>98</v>
      </c>
      <c r="I205" s="5">
        <v>88</v>
      </c>
      <c r="J205" s="6">
        <f t="shared" si="1176"/>
        <v>0.89795918367346939</v>
      </c>
      <c r="K205" s="5">
        <v>24</v>
      </c>
      <c r="L205" s="5">
        <v>13</v>
      </c>
      <c r="M205" s="5">
        <v>6</v>
      </c>
      <c r="N205" s="9">
        <v>0</v>
      </c>
      <c r="O205" s="46">
        <f t="shared" si="1177"/>
        <v>0</v>
      </c>
      <c r="P205" s="5">
        <v>2</v>
      </c>
      <c r="Q205" s="46">
        <f t="shared" ref="Q205" si="1244">IFERROR(P205/$I205,"")</f>
        <v>2.2727272727272728E-2</v>
      </c>
      <c r="R205" s="5">
        <v>43</v>
      </c>
      <c r="S205" s="46">
        <f t="shared" ref="S205" si="1245">IFERROR(R205/$I205,"")</f>
        <v>0.48863636363636365</v>
      </c>
      <c r="T205" s="5">
        <v>0</v>
      </c>
      <c r="U205" s="46">
        <f t="shared" ref="U205" si="1246">IFERROR(T205/$I205,"")</f>
        <v>0</v>
      </c>
      <c r="V205" s="5">
        <v>9</v>
      </c>
      <c r="W205" s="46">
        <f t="shared" ref="W205" si="1247">IFERROR(V205/$I205,"")</f>
        <v>0.10227272727272728</v>
      </c>
      <c r="X205" s="5">
        <v>6</v>
      </c>
      <c r="Y205" s="46">
        <f t="shared" ref="Y205" si="1248">IFERROR(X205/$I205,"")</f>
        <v>6.8181818181818177E-2</v>
      </c>
      <c r="Z205" s="5">
        <v>18</v>
      </c>
      <c r="AA205" s="46">
        <f t="shared" ref="AA205" si="1249">IFERROR(Z205/$I205,"")</f>
        <v>0.20454545454545456</v>
      </c>
      <c r="AB205" s="5">
        <v>32</v>
      </c>
      <c r="AC205" s="46">
        <f t="shared" si="1184"/>
        <v>0.32653061224489793</v>
      </c>
      <c r="AD205" s="5">
        <v>35</v>
      </c>
      <c r="AE205" s="5">
        <v>41275.340000000004</v>
      </c>
      <c r="AF205" s="5">
        <f t="shared" si="1185"/>
        <v>1289.8543750000001</v>
      </c>
      <c r="AG205" s="5">
        <v>0</v>
      </c>
      <c r="AH205" s="49">
        <f t="shared" si="1186"/>
        <v>0</v>
      </c>
      <c r="AI205" s="5">
        <v>0</v>
      </c>
      <c r="AJ205" s="5">
        <v>0</v>
      </c>
      <c r="AK205" s="4">
        <v>25</v>
      </c>
      <c r="AL205" s="7">
        <v>22</v>
      </c>
      <c r="AM205" s="4">
        <v>2</v>
      </c>
      <c r="AN205" s="4">
        <v>1</v>
      </c>
      <c r="AO205" s="11">
        <f t="shared" si="1187"/>
        <v>84</v>
      </c>
      <c r="AP205" s="50">
        <f t="shared" si="1188"/>
        <v>0.25510204081632654</v>
      </c>
      <c r="AQ205" s="7">
        <v>98</v>
      </c>
      <c r="AR205" s="50">
        <f t="shared" si="1189"/>
        <v>1</v>
      </c>
      <c r="AS205" s="4"/>
    </row>
    <row r="206" spans="1:45" ht="18" customHeight="1" x14ac:dyDescent="0.3">
      <c r="A206" s="4" t="s">
        <v>39</v>
      </c>
      <c r="B206" s="4" t="s">
        <v>121</v>
      </c>
      <c r="C206" s="4" t="s">
        <v>47</v>
      </c>
      <c r="D206" s="4" t="s">
        <v>122</v>
      </c>
      <c r="E206" s="4" t="s">
        <v>123</v>
      </c>
      <c r="F206" s="7" t="s">
        <v>48</v>
      </c>
      <c r="G206" s="4" t="s">
        <v>49</v>
      </c>
      <c r="H206" s="5">
        <v>187</v>
      </c>
      <c r="I206" s="5">
        <v>166</v>
      </c>
      <c r="J206" s="6">
        <f t="shared" si="1176"/>
        <v>0.88770053475935828</v>
      </c>
      <c r="K206" s="5">
        <v>81</v>
      </c>
      <c r="L206" s="5">
        <v>49</v>
      </c>
      <c r="M206" s="5">
        <v>27</v>
      </c>
      <c r="N206" s="9">
        <v>16</v>
      </c>
      <c r="O206" s="46">
        <f t="shared" si="1177"/>
        <v>9.6385542168674704E-2</v>
      </c>
      <c r="P206" s="5">
        <v>6</v>
      </c>
      <c r="Q206" s="46">
        <f t="shared" ref="Q206" si="1250">IFERROR(P206/$I206,"")</f>
        <v>3.614457831325301E-2</v>
      </c>
      <c r="R206" s="5">
        <v>82</v>
      </c>
      <c r="S206" s="46">
        <f t="shared" ref="S206" si="1251">IFERROR(R206/$I206,"")</f>
        <v>0.49397590361445781</v>
      </c>
      <c r="T206" s="5">
        <v>1</v>
      </c>
      <c r="U206" s="46">
        <f t="shared" ref="U206" si="1252">IFERROR(T206/$I206,"")</f>
        <v>6.024096385542169E-3</v>
      </c>
      <c r="V206" s="5">
        <v>37</v>
      </c>
      <c r="W206" s="46">
        <f t="shared" ref="W206" si="1253">IFERROR(V206/$I206,"")</f>
        <v>0.22289156626506024</v>
      </c>
      <c r="X206" s="5">
        <v>48</v>
      </c>
      <c r="Y206" s="46">
        <f t="shared" ref="Y206" si="1254">IFERROR(X206/$I206,"")</f>
        <v>0.28915662650602408</v>
      </c>
      <c r="Z206" s="5">
        <v>29</v>
      </c>
      <c r="AA206" s="46">
        <f t="shared" ref="AA206" si="1255">IFERROR(Z206/$I206,"")</f>
        <v>0.1746987951807229</v>
      </c>
      <c r="AB206" s="5">
        <v>150</v>
      </c>
      <c r="AC206" s="46">
        <f t="shared" si="1184"/>
        <v>0.80213903743315507</v>
      </c>
      <c r="AD206" s="5">
        <v>279</v>
      </c>
      <c r="AE206" s="5">
        <v>396901.69000000076</v>
      </c>
      <c r="AF206" s="5">
        <f t="shared" si="1185"/>
        <v>2646.0112666666719</v>
      </c>
      <c r="AG206" s="5">
        <v>5398.33</v>
      </c>
      <c r="AH206" s="49">
        <f t="shared" si="1186"/>
        <v>32.520060240963858</v>
      </c>
      <c r="AI206" s="5">
        <v>5650</v>
      </c>
      <c r="AJ206" s="5">
        <v>43</v>
      </c>
      <c r="AK206" s="4">
        <v>59</v>
      </c>
      <c r="AL206" s="7">
        <v>53</v>
      </c>
      <c r="AM206" s="4">
        <v>3</v>
      </c>
      <c r="AN206" s="4">
        <v>3</v>
      </c>
      <c r="AO206" s="11">
        <f t="shared" si="1187"/>
        <v>84.745762711864401</v>
      </c>
      <c r="AP206" s="50">
        <f t="shared" si="1188"/>
        <v>0.31550802139037432</v>
      </c>
      <c r="AQ206" s="7">
        <v>187</v>
      </c>
      <c r="AR206" s="50">
        <f t="shared" si="1189"/>
        <v>1</v>
      </c>
      <c r="AS206" s="4"/>
    </row>
    <row r="207" spans="1:45" ht="18" customHeight="1" x14ac:dyDescent="0.3">
      <c r="A207" s="4" t="s">
        <v>39</v>
      </c>
      <c r="B207" s="4" t="s">
        <v>121</v>
      </c>
      <c r="C207" s="4" t="s">
        <v>47</v>
      </c>
      <c r="D207" s="4" t="s">
        <v>124</v>
      </c>
      <c r="E207" s="4" t="s">
        <v>125</v>
      </c>
      <c r="F207" s="7" t="s">
        <v>48</v>
      </c>
      <c r="G207" s="4" t="s">
        <v>81</v>
      </c>
      <c r="H207" s="5">
        <v>193</v>
      </c>
      <c r="I207" s="5">
        <v>178</v>
      </c>
      <c r="J207" s="6">
        <f t="shared" si="1176"/>
        <v>0.92227979274611394</v>
      </c>
      <c r="K207" s="5">
        <v>75</v>
      </c>
      <c r="L207" s="5">
        <v>29</v>
      </c>
      <c r="M207" s="5">
        <v>28</v>
      </c>
      <c r="N207" s="9">
        <v>21</v>
      </c>
      <c r="O207" s="46">
        <f t="shared" si="1177"/>
        <v>0.11797752808988764</v>
      </c>
      <c r="P207" s="5">
        <v>7</v>
      </c>
      <c r="Q207" s="46">
        <f t="shared" ref="Q207" si="1256">IFERROR(P207/$I207,"")</f>
        <v>3.9325842696629212E-2</v>
      </c>
      <c r="R207" s="5">
        <v>86</v>
      </c>
      <c r="S207" s="46">
        <f t="shared" ref="S207" si="1257">IFERROR(R207/$I207,"")</f>
        <v>0.48314606741573035</v>
      </c>
      <c r="T207" s="5">
        <v>3</v>
      </c>
      <c r="U207" s="46">
        <f t="shared" ref="U207" si="1258">IFERROR(T207/$I207,"")</f>
        <v>1.6853932584269662E-2</v>
      </c>
      <c r="V207" s="5">
        <v>21</v>
      </c>
      <c r="W207" s="46">
        <f t="shared" ref="W207" si="1259">IFERROR(V207/$I207,"")</f>
        <v>0.11797752808988764</v>
      </c>
      <c r="X207" s="5">
        <v>29</v>
      </c>
      <c r="Y207" s="46">
        <f t="shared" ref="Y207" si="1260">IFERROR(X207/$I207,"")</f>
        <v>0.16292134831460675</v>
      </c>
      <c r="Z207" s="5">
        <v>52</v>
      </c>
      <c r="AA207" s="46">
        <f t="shared" ref="AA207" si="1261">IFERROR(Z207/$I207,"")</f>
        <v>0.29213483146067415</v>
      </c>
      <c r="AB207" s="5">
        <v>147</v>
      </c>
      <c r="AC207" s="46">
        <f t="shared" si="1184"/>
        <v>0.76165803108808294</v>
      </c>
      <c r="AD207" s="5">
        <v>254</v>
      </c>
      <c r="AE207" s="5">
        <v>315296.62000000046</v>
      </c>
      <c r="AF207" s="5">
        <f t="shared" si="1185"/>
        <v>2144.8749659863979</v>
      </c>
      <c r="AG207" s="5">
        <v>464.4</v>
      </c>
      <c r="AH207" s="49">
        <f t="shared" si="1186"/>
        <v>2.6089887640449438</v>
      </c>
      <c r="AI207" s="5">
        <v>4003</v>
      </c>
      <c r="AJ207" s="5">
        <v>23</v>
      </c>
      <c r="AK207" s="4">
        <v>49</v>
      </c>
      <c r="AL207" s="7">
        <v>39</v>
      </c>
      <c r="AM207" s="4">
        <v>4</v>
      </c>
      <c r="AN207" s="4">
        <v>6</v>
      </c>
      <c r="AO207" s="11">
        <f t="shared" si="1187"/>
        <v>67.346938775510196</v>
      </c>
      <c r="AP207" s="50">
        <f t="shared" si="1188"/>
        <v>0.25388601036269431</v>
      </c>
      <c r="AQ207" s="7">
        <v>193</v>
      </c>
      <c r="AR207" s="50">
        <f t="shared" si="1189"/>
        <v>1</v>
      </c>
      <c r="AS207" s="4"/>
    </row>
    <row r="208" spans="1:45" ht="18" customHeight="1" x14ac:dyDescent="0.3">
      <c r="A208" s="4" t="s">
        <v>39</v>
      </c>
      <c r="B208" s="4" t="s">
        <v>121</v>
      </c>
      <c r="C208" s="4" t="s">
        <v>47</v>
      </c>
      <c r="D208" s="4" t="s">
        <v>126</v>
      </c>
      <c r="E208" s="4" t="s">
        <v>127</v>
      </c>
      <c r="F208" s="7" t="s">
        <v>48</v>
      </c>
      <c r="G208" s="4" t="s">
        <v>61</v>
      </c>
      <c r="H208" s="5">
        <v>180</v>
      </c>
      <c r="I208" s="5">
        <v>159</v>
      </c>
      <c r="J208" s="6">
        <f t="shared" si="1176"/>
        <v>0.8833333333333333</v>
      </c>
      <c r="K208" s="5">
        <v>80</v>
      </c>
      <c r="L208" s="5">
        <v>45</v>
      </c>
      <c r="M208" s="5">
        <v>25</v>
      </c>
      <c r="N208" s="9">
        <v>38</v>
      </c>
      <c r="O208" s="46">
        <f t="shared" si="1177"/>
        <v>0.2389937106918239</v>
      </c>
      <c r="P208" s="5">
        <v>6</v>
      </c>
      <c r="Q208" s="46">
        <f t="shared" ref="Q208" si="1262">IFERROR(P208/$I208,"")</f>
        <v>3.7735849056603772E-2</v>
      </c>
      <c r="R208" s="5">
        <v>86</v>
      </c>
      <c r="S208" s="46">
        <f t="shared" ref="S208" si="1263">IFERROR(R208/$I208,"")</f>
        <v>0.54088050314465408</v>
      </c>
      <c r="T208" s="5">
        <v>0</v>
      </c>
      <c r="U208" s="46">
        <f t="shared" ref="U208" si="1264">IFERROR(T208/$I208,"")</f>
        <v>0</v>
      </c>
      <c r="V208" s="5">
        <v>40</v>
      </c>
      <c r="W208" s="46">
        <f t="shared" ref="W208" si="1265">IFERROR(V208/$I208,"")</f>
        <v>0.25157232704402516</v>
      </c>
      <c r="X208" s="5">
        <v>46</v>
      </c>
      <c r="Y208" s="46">
        <f t="shared" ref="Y208" si="1266">IFERROR(X208/$I208,"")</f>
        <v>0.28930817610062892</v>
      </c>
      <c r="Z208" s="5">
        <v>51</v>
      </c>
      <c r="AA208" s="46">
        <f t="shared" ref="AA208" si="1267">IFERROR(Z208/$I208,"")</f>
        <v>0.32075471698113206</v>
      </c>
      <c r="AB208" s="5">
        <v>135</v>
      </c>
      <c r="AC208" s="46">
        <f t="shared" si="1184"/>
        <v>0.75</v>
      </c>
      <c r="AD208" s="5">
        <v>245</v>
      </c>
      <c r="AE208" s="5">
        <v>342473.62000000052</v>
      </c>
      <c r="AF208" s="5">
        <f t="shared" si="1185"/>
        <v>2536.8416296296336</v>
      </c>
      <c r="AG208" s="5">
        <v>2329.9899999999998</v>
      </c>
      <c r="AH208" s="49">
        <f t="shared" si="1186"/>
        <v>14.654025157232702</v>
      </c>
      <c r="AI208" s="5">
        <v>7275</v>
      </c>
      <c r="AJ208" s="5">
        <v>16</v>
      </c>
      <c r="AK208" s="4">
        <v>40</v>
      </c>
      <c r="AL208" s="7">
        <v>30</v>
      </c>
      <c r="AM208" s="4">
        <v>6</v>
      </c>
      <c r="AN208" s="4">
        <v>4</v>
      </c>
      <c r="AO208" s="11">
        <f t="shared" si="1187"/>
        <v>65</v>
      </c>
      <c r="AP208" s="50">
        <f t="shared" si="1188"/>
        <v>0.22222222222222221</v>
      </c>
      <c r="AQ208" s="7">
        <v>180</v>
      </c>
      <c r="AR208" s="50">
        <f t="shared" si="1189"/>
        <v>1</v>
      </c>
      <c r="AS208" s="4"/>
    </row>
    <row r="209" spans="1:45" ht="18" customHeight="1" x14ac:dyDescent="0.3">
      <c r="A209" s="4" t="s">
        <v>39</v>
      </c>
      <c r="B209" s="4" t="s">
        <v>121</v>
      </c>
      <c r="C209" s="4" t="s">
        <v>47</v>
      </c>
      <c r="D209" s="4" t="s">
        <v>128</v>
      </c>
      <c r="E209" s="4" t="s">
        <v>129</v>
      </c>
      <c r="F209" s="7" t="s">
        <v>48</v>
      </c>
      <c r="G209" s="4" t="s">
        <v>57</v>
      </c>
      <c r="H209" s="5">
        <v>236</v>
      </c>
      <c r="I209" s="5">
        <v>200</v>
      </c>
      <c r="J209" s="6">
        <f t="shared" si="1176"/>
        <v>0.84745762711864403</v>
      </c>
      <c r="K209" s="5">
        <v>120</v>
      </c>
      <c r="L209" s="5">
        <v>69</v>
      </c>
      <c r="M209" s="5">
        <v>43</v>
      </c>
      <c r="N209" s="9">
        <v>26</v>
      </c>
      <c r="O209" s="46">
        <f t="shared" si="1177"/>
        <v>0.13</v>
      </c>
      <c r="P209" s="5">
        <v>8</v>
      </c>
      <c r="Q209" s="46">
        <f t="shared" ref="Q209" si="1268">IFERROR(P209/$I209,"")</f>
        <v>0.04</v>
      </c>
      <c r="R209" s="5">
        <v>67</v>
      </c>
      <c r="S209" s="46">
        <f t="shared" ref="S209" si="1269">IFERROR(R209/$I209,"")</f>
        <v>0.33500000000000002</v>
      </c>
      <c r="T209" s="5">
        <v>0</v>
      </c>
      <c r="U209" s="46">
        <f t="shared" ref="U209" si="1270">IFERROR(T209/$I209,"")</f>
        <v>0</v>
      </c>
      <c r="V209" s="5">
        <v>36</v>
      </c>
      <c r="W209" s="46">
        <f t="shared" ref="W209" si="1271">IFERROR(V209/$I209,"")</f>
        <v>0.18</v>
      </c>
      <c r="X209" s="5">
        <v>35</v>
      </c>
      <c r="Y209" s="46">
        <f t="shared" ref="Y209" si="1272">IFERROR(X209/$I209,"")</f>
        <v>0.17499999999999999</v>
      </c>
      <c r="Z209" s="5">
        <v>37</v>
      </c>
      <c r="AA209" s="46">
        <f t="shared" ref="AA209" si="1273">IFERROR(Z209/$I209,"")</f>
        <v>0.185</v>
      </c>
      <c r="AB209" s="5">
        <v>175</v>
      </c>
      <c r="AC209" s="46">
        <f t="shared" si="1184"/>
        <v>0.74152542372881358</v>
      </c>
      <c r="AD209" s="5">
        <v>234</v>
      </c>
      <c r="AE209" s="5">
        <v>351267.22000000026</v>
      </c>
      <c r="AF209" s="5">
        <f t="shared" si="1185"/>
        <v>2007.2412571428586</v>
      </c>
      <c r="AG209" s="5">
        <v>1770.92</v>
      </c>
      <c r="AH209" s="49">
        <f t="shared" si="1186"/>
        <v>8.8545999999999996</v>
      </c>
      <c r="AI209" s="5">
        <v>360</v>
      </c>
      <c r="AJ209" s="5">
        <v>21</v>
      </c>
      <c r="AK209" s="4">
        <v>45</v>
      </c>
      <c r="AL209" s="7">
        <v>43</v>
      </c>
      <c r="AM209" s="4">
        <v>0</v>
      </c>
      <c r="AN209" s="4">
        <v>2</v>
      </c>
      <c r="AO209" s="11">
        <f t="shared" si="1187"/>
        <v>91.111111111111114</v>
      </c>
      <c r="AP209" s="50">
        <f t="shared" si="1188"/>
        <v>0.19067796610169491</v>
      </c>
      <c r="AQ209" s="7">
        <v>236</v>
      </c>
      <c r="AR209" s="50">
        <f t="shared" si="1189"/>
        <v>1</v>
      </c>
      <c r="AS209" s="4"/>
    </row>
    <row r="210" spans="1:45" ht="18" customHeight="1" x14ac:dyDescent="0.3">
      <c r="A210" s="4" t="s">
        <v>39</v>
      </c>
      <c r="B210" s="4" t="s">
        <v>121</v>
      </c>
      <c r="C210" s="4" t="s">
        <v>47</v>
      </c>
      <c r="D210" s="4" t="s">
        <v>130</v>
      </c>
      <c r="E210" s="4" t="s">
        <v>131</v>
      </c>
      <c r="F210" s="7" t="s">
        <v>48</v>
      </c>
      <c r="G210" s="4" t="s">
        <v>88</v>
      </c>
      <c r="H210" s="5">
        <v>219</v>
      </c>
      <c r="I210" s="5">
        <v>192</v>
      </c>
      <c r="J210" s="6">
        <f t="shared" si="1176"/>
        <v>0.87671232876712324</v>
      </c>
      <c r="K210" s="5">
        <v>117</v>
      </c>
      <c r="L210" s="5">
        <v>65</v>
      </c>
      <c r="M210" s="5">
        <v>44</v>
      </c>
      <c r="N210" s="9">
        <v>24</v>
      </c>
      <c r="O210" s="46">
        <f t="shared" si="1177"/>
        <v>0.125</v>
      </c>
      <c r="P210" s="5">
        <v>12</v>
      </c>
      <c r="Q210" s="46">
        <f t="shared" ref="Q210" si="1274">IFERROR(P210/$I210,"")</f>
        <v>6.25E-2</v>
      </c>
      <c r="R210" s="5">
        <v>105</v>
      </c>
      <c r="S210" s="46">
        <f t="shared" ref="S210" si="1275">IFERROR(R210/$I210,"")</f>
        <v>0.546875</v>
      </c>
      <c r="T210" s="5">
        <v>1</v>
      </c>
      <c r="U210" s="46">
        <f t="shared" ref="U210" si="1276">IFERROR(T210/$I210,"")</f>
        <v>5.208333333333333E-3</v>
      </c>
      <c r="V210" s="5">
        <v>39</v>
      </c>
      <c r="W210" s="46">
        <f t="shared" ref="W210" si="1277">IFERROR(V210/$I210,"")</f>
        <v>0.203125</v>
      </c>
      <c r="X210" s="5">
        <v>56</v>
      </c>
      <c r="Y210" s="46">
        <f t="shared" ref="Y210" si="1278">IFERROR(X210/$I210,"")</f>
        <v>0.29166666666666669</v>
      </c>
      <c r="Z210" s="5">
        <v>91</v>
      </c>
      <c r="AA210" s="46">
        <f t="shared" ref="AA210" si="1279">IFERROR(Z210/$I210,"")</f>
        <v>0.47395833333333331</v>
      </c>
      <c r="AB210" s="5">
        <v>186</v>
      </c>
      <c r="AC210" s="46">
        <f t="shared" si="1184"/>
        <v>0.84931506849315064</v>
      </c>
      <c r="AD210" s="5">
        <v>353</v>
      </c>
      <c r="AE210" s="5">
        <v>457543.94000000186</v>
      </c>
      <c r="AF210" s="5">
        <f t="shared" si="1185"/>
        <v>2459.9136559139884</v>
      </c>
      <c r="AG210" s="5">
        <v>6547.9299999999985</v>
      </c>
      <c r="AH210" s="49">
        <f t="shared" si="1186"/>
        <v>34.103802083333328</v>
      </c>
      <c r="AI210" s="5">
        <v>360</v>
      </c>
      <c r="AJ210" s="5">
        <v>38</v>
      </c>
      <c r="AK210" s="4">
        <v>54</v>
      </c>
      <c r="AL210" s="7">
        <v>47</v>
      </c>
      <c r="AM210" s="4">
        <v>3</v>
      </c>
      <c r="AN210" s="4">
        <v>4</v>
      </c>
      <c r="AO210" s="11">
        <f t="shared" si="1187"/>
        <v>79.629629629629633</v>
      </c>
      <c r="AP210" s="50">
        <f t="shared" si="1188"/>
        <v>0.24657534246575341</v>
      </c>
      <c r="AQ210" s="7">
        <v>219</v>
      </c>
      <c r="AR210" s="50">
        <f t="shared" si="1189"/>
        <v>1</v>
      </c>
      <c r="AS210" s="4"/>
    </row>
    <row r="211" spans="1:45" ht="18" customHeight="1" x14ac:dyDescent="0.3">
      <c r="A211" s="4" t="s">
        <v>39</v>
      </c>
      <c r="B211" s="4" t="s">
        <v>121</v>
      </c>
      <c r="C211" s="4" t="s">
        <v>47</v>
      </c>
      <c r="D211" s="4" t="s">
        <v>132</v>
      </c>
      <c r="E211" s="4" t="s">
        <v>133</v>
      </c>
      <c r="F211" s="7" t="s">
        <v>48</v>
      </c>
      <c r="G211" s="4" t="s">
        <v>81</v>
      </c>
      <c r="H211" s="5">
        <v>189</v>
      </c>
      <c r="I211" s="5">
        <v>148</v>
      </c>
      <c r="J211" s="6">
        <f t="shared" si="1176"/>
        <v>0.78306878306878303</v>
      </c>
      <c r="K211" s="5">
        <v>68</v>
      </c>
      <c r="L211" s="5">
        <v>28</v>
      </c>
      <c r="M211" s="5">
        <v>22</v>
      </c>
      <c r="N211" s="9">
        <v>18</v>
      </c>
      <c r="O211" s="46">
        <f t="shared" si="1177"/>
        <v>0.12162162162162163</v>
      </c>
      <c r="P211" s="5">
        <v>14</v>
      </c>
      <c r="Q211" s="46">
        <f t="shared" ref="Q211" si="1280">IFERROR(P211/$I211,"")</f>
        <v>9.45945945945946E-2</v>
      </c>
      <c r="R211" s="5">
        <v>86</v>
      </c>
      <c r="S211" s="46">
        <f t="shared" ref="S211" si="1281">IFERROR(R211/$I211,"")</f>
        <v>0.58108108108108103</v>
      </c>
      <c r="T211" s="5">
        <v>0</v>
      </c>
      <c r="U211" s="46">
        <f t="shared" ref="U211" si="1282">IFERROR(T211/$I211,"")</f>
        <v>0</v>
      </c>
      <c r="V211" s="5">
        <v>30</v>
      </c>
      <c r="W211" s="46">
        <f t="shared" ref="W211" si="1283">IFERROR(V211/$I211,"")</f>
        <v>0.20270270270270271</v>
      </c>
      <c r="X211" s="5">
        <v>21</v>
      </c>
      <c r="Y211" s="46">
        <f t="shared" ref="Y211" si="1284">IFERROR(X211/$I211,"")</f>
        <v>0.14189189189189189</v>
      </c>
      <c r="Z211" s="5">
        <v>34</v>
      </c>
      <c r="AA211" s="46">
        <f t="shared" ref="AA211" si="1285">IFERROR(Z211/$I211,"")</f>
        <v>0.22972972972972974</v>
      </c>
      <c r="AB211" s="5">
        <v>132</v>
      </c>
      <c r="AC211" s="46">
        <f t="shared" si="1184"/>
        <v>0.69841269841269837</v>
      </c>
      <c r="AD211" s="5">
        <v>231</v>
      </c>
      <c r="AE211" s="5">
        <v>290972.63000000024</v>
      </c>
      <c r="AF211" s="5">
        <f t="shared" si="1185"/>
        <v>2204.338106060608</v>
      </c>
      <c r="AG211" s="5">
        <v>2077.1</v>
      </c>
      <c r="AH211" s="49">
        <f t="shared" si="1186"/>
        <v>14.034459459459459</v>
      </c>
      <c r="AI211" s="5">
        <v>1472</v>
      </c>
      <c r="AJ211" s="5">
        <v>36</v>
      </c>
      <c r="AK211" s="4">
        <v>45</v>
      </c>
      <c r="AL211" s="7">
        <v>44</v>
      </c>
      <c r="AM211" s="4">
        <v>1</v>
      </c>
      <c r="AN211" s="4">
        <v>0</v>
      </c>
      <c r="AO211" s="11">
        <f t="shared" si="1187"/>
        <v>97.777777777777771</v>
      </c>
      <c r="AP211" s="50">
        <f t="shared" si="1188"/>
        <v>0.23809523809523808</v>
      </c>
      <c r="AQ211" s="7">
        <v>189</v>
      </c>
      <c r="AR211" s="50">
        <f t="shared" si="1189"/>
        <v>1</v>
      </c>
      <c r="AS211" s="4"/>
    </row>
    <row r="212" spans="1:45" ht="18" customHeight="1" x14ac:dyDescent="0.3">
      <c r="A212" s="4" t="s">
        <v>39</v>
      </c>
      <c r="B212" s="4" t="s">
        <v>121</v>
      </c>
      <c r="C212" s="4" t="s">
        <v>47</v>
      </c>
      <c r="D212" s="4"/>
      <c r="E212" s="4" t="s">
        <v>158</v>
      </c>
      <c r="F212" s="7" t="s">
        <v>48</v>
      </c>
      <c r="G212" s="4" t="s">
        <v>81</v>
      </c>
      <c r="H212" s="5">
        <v>40</v>
      </c>
      <c r="I212" s="5">
        <v>50</v>
      </c>
      <c r="J212" s="6">
        <f t="shared" si="1176"/>
        <v>1.25</v>
      </c>
      <c r="K212" s="5">
        <v>7</v>
      </c>
      <c r="L212" s="5">
        <v>5</v>
      </c>
      <c r="M212" s="5">
        <v>2</v>
      </c>
      <c r="N212" s="9">
        <v>0</v>
      </c>
      <c r="O212" s="46">
        <f t="shared" si="1177"/>
        <v>0</v>
      </c>
      <c r="P212" s="5">
        <v>0</v>
      </c>
      <c r="Q212" s="46">
        <f t="shared" ref="Q212" si="1286">IFERROR(P212/$I212,"")</f>
        <v>0</v>
      </c>
      <c r="R212" s="5">
        <v>11</v>
      </c>
      <c r="S212" s="46">
        <f t="shared" ref="S212" si="1287">IFERROR(R212/$I212,"")</f>
        <v>0.22</v>
      </c>
      <c r="T212" s="5">
        <v>1</v>
      </c>
      <c r="U212" s="46">
        <f t="shared" ref="U212" si="1288">IFERROR(T212/$I212,"")</f>
        <v>0.02</v>
      </c>
      <c r="V212" s="5">
        <v>0</v>
      </c>
      <c r="W212" s="46">
        <f t="shared" ref="W212" si="1289">IFERROR(V212/$I212,"")</f>
        <v>0</v>
      </c>
      <c r="X212" s="5">
        <v>2</v>
      </c>
      <c r="Y212" s="46">
        <f t="shared" ref="Y212" si="1290">IFERROR(X212/$I212,"")</f>
        <v>0.04</v>
      </c>
      <c r="Z212" s="5">
        <v>3</v>
      </c>
      <c r="AA212" s="46">
        <f t="shared" ref="AA212" si="1291">IFERROR(Z212/$I212,"")</f>
        <v>0.06</v>
      </c>
      <c r="AB212" s="5">
        <v>14</v>
      </c>
      <c r="AC212" s="46">
        <f t="shared" si="1184"/>
        <v>0.35</v>
      </c>
      <c r="AD212" s="5">
        <v>21</v>
      </c>
      <c r="AE212" s="5">
        <v>27677.69</v>
      </c>
      <c r="AF212" s="5">
        <f t="shared" si="1185"/>
        <v>1976.9778571428571</v>
      </c>
      <c r="AG212" s="5">
        <v>0</v>
      </c>
      <c r="AH212" s="49">
        <f t="shared" si="1186"/>
        <v>0</v>
      </c>
      <c r="AI212" s="5">
        <v>0</v>
      </c>
      <c r="AJ212" s="5">
        <v>3</v>
      </c>
      <c r="AK212" s="4">
        <v>14</v>
      </c>
      <c r="AL212" s="7">
        <v>11</v>
      </c>
      <c r="AM212" s="4">
        <v>0</v>
      </c>
      <c r="AN212" s="4">
        <v>3</v>
      </c>
      <c r="AO212" s="11">
        <f t="shared" si="1187"/>
        <v>57.142857142857139</v>
      </c>
      <c r="AP212" s="50">
        <f t="shared" si="1188"/>
        <v>0.35</v>
      </c>
      <c r="AQ212" s="7">
        <v>40</v>
      </c>
      <c r="AR212" s="50">
        <f t="shared" si="1189"/>
        <v>1</v>
      </c>
      <c r="AS212" s="4"/>
    </row>
    <row r="213" spans="1:45" ht="18" customHeight="1" x14ac:dyDescent="0.3">
      <c r="A213" s="4" t="s">
        <v>39</v>
      </c>
      <c r="B213" s="4" t="s">
        <v>136</v>
      </c>
      <c r="C213" s="4" t="s">
        <v>47</v>
      </c>
      <c r="D213" s="4" t="s">
        <v>137</v>
      </c>
      <c r="E213" s="4" t="s">
        <v>138</v>
      </c>
      <c r="F213" s="7" t="s">
        <v>48</v>
      </c>
      <c r="G213" s="4" t="s">
        <v>49</v>
      </c>
      <c r="H213" s="5">
        <v>145</v>
      </c>
      <c r="I213" s="5">
        <v>116</v>
      </c>
      <c r="J213" s="6">
        <f t="shared" si="1176"/>
        <v>0.8</v>
      </c>
      <c r="K213" s="5">
        <v>49</v>
      </c>
      <c r="L213" s="5">
        <v>24</v>
      </c>
      <c r="M213" s="5">
        <v>17</v>
      </c>
      <c r="N213" s="9">
        <v>9</v>
      </c>
      <c r="O213" s="46">
        <f t="shared" si="1177"/>
        <v>7.7586206896551727E-2</v>
      </c>
      <c r="P213" s="5">
        <v>6</v>
      </c>
      <c r="Q213" s="46">
        <f t="shared" ref="Q213" si="1292">IFERROR(P213/$I213,"")</f>
        <v>5.1724137931034482E-2</v>
      </c>
      <c r="R213" s="5">
        <v>38</v>
      </c>
      <c r="S213" s="46">
        <f t="shared" ref="S213" si="1293">IFERROR(R213/$I213,"")</f>
        <v>0.32758620689655171</v>
      </c>
      <c r="T213" s="5">
        <v>1</v>
      </c>
      <c r="U213" s="46">
        <f t="shared" ref="U213" si="1294">IFERROR(T213/$I213,"")</f>
        <v>8.6206896551724137E-3</v>
      </c>
      <c r="V213" s="5">
        <v>17</v>
      </c>
      <c r="W213" s="46">
        <f t="shared" ref="W213" si="1295">IFERROR(V213/$I213,"")</f>
        <v>0.14655172413793102</v>
      </c>
      <c r="X213" s="5">
        <v>13</v>
      </c>
      <c r="Y213" s="46">
        <f t="shared" ref="Y213" si="1296">IFERROR(X213/$I213,"")</f>
        <v>0.11206896551724138</v>
      </c>
      <c r="Z213" s="5">
        <v>17</v>
      </c>
      <c r="AA213" s="46">
        <f t="shared" ref="AA213" si="1297">IFERROR(Z213/$I213,"")</f>
        <v>0.14655172413793102</v>
      </c>
      <c r="AB213" s="5">
        <v>72</v>
      </c>
      <c r="AC213" s="46">
        <f t="shared" si="1184"/>
        <v>0.49655172413793103</v>
      </c>
      <c r="AD213" s="5">
        <v>106</v>
      </c>
      <c r="AE213" s="5">
        <v>143723.17999999993</v>
      </c>
      <c r="AF213" s="5">
        <f t="shared" si="1185"/>
        <v>1996.155277777777</v>
      </c>
      <c r="AG213" s="5">
        <v>450</v>
      </c>
      <c r="AH213" s="49">
        <f t="shared" si="1186"/>
        <v>3.8793103448275863</v>
      </c>
      <c r="AI213" s="5">
        <v>21642</v>
      </c>
      <c r="AJ213" s="5">
        <v>0</v>
      </c>
      <c r="AK213" s="4">
        <v>32</v>
      </c>
      <c r="AL213" s="7">
        <v>31</v>
      </c>
      <c r="AM213" s="4">
        <v>1</v>
      </c>
      <c r="AN213" s="4">
        <v>0</v>
      </c>
      <c r="AO213" s="11">
        <f t="shared" si="1187"/>
        <v>96.875</v>
      </c>
      <c r="AP213" s="50">
        <f t="shared" si="1188"/>
        <v>0.22068965517241379</v>
      </c>
      <c r="AQ213" s="7">
        <v>145</v>
      </c>
      <c r="AR213" s="50">
        <f t="shared" si="1189"/>
        <v>1</v>
      </c>
      <c r="AS213" s="4"/>
    </row>
    <row r="214" spans="1:45" ht="18" customHeight="1" x14ac:dyDescent="0.3">
      <c r="A214" s="4" t="s">
        <v>39</v>
      </c>
      <c r="B214" s="4" t="s">
        <v>139</v>
      </c>
      <c r="C214" s="4" t="s">
        <v>47</v>
      </c>
      <c r="D214" s="4" t="s">
        <v>140</v>
      </c>
      <c r="E214" s="4" t="s">
        <v>141</v>
      </c>
      <c r="F214" s="7" t="s">
        <v>48</v>
      </c>
      <c r="G214" s="4" t="s">
        <v>142</v>
      </c>
      <c r="H214" s="5">
        <v>188</v>
      </c>
      <c r="I214" s="5">
        <v>147</v>
      </c>
      <c r="J214" s="6">
        <f t="shared" si="1176"/>
        <v>0.78191489361702127</v>
      </c>
      <c r="K214" s="5">
        <v>49</v>
      </c>
      <c r="L214" s="5">
        <v>25</v>
      </c>
      <c r="M214" s="5">
        <v>14</v>
      </c>
      <c r="N214" s="9">
        <v>9</v>
      </c>
      <c r="O214" s="46">
        <f t="shared" si="1177"/>
        <v>6.1224489795918366E-2</v>
      </c>
      <c r="P214" s="5">
        <v>7</v>
      </c>
      <c r="Q214" s="46">
        <f t="shared" ref="Q214" si="1298">IFERROR(P214/$I214,"")</f>
        <v>4.7619047619047616E-2</v>
      </c>
      <c r="R214" s="5">
        <v>57</v>
      </c>
      <c r="S214" s="46">
        <f t="shared" ref="S214" si="1299">IFERROR(R214/$I214,"")</f>
        <v>0.38775510204081631</v>
      </c>
      <c r="T214" s="5">
        <v>0</v>
      </c>
      <c r="U214" s="46">
        <f t="shared" ref="U214" si="1300">IFERROR(T214/$I214,"")</f>
        <v>0</v>
      </c>
      <c r="V214" s="5">
        <v>20</v>
      </c>
      <c r="W214" s="46">
        <f t="shared" ref="W214" si="1301">IFERROR(V214/$I214,"")</f>
        <v>0.1360544217687075</v>
      </c>
      <c r="X214" s="5">
        <v>14</v>
      </c>
      <c r="Y214" s="46">
        <f t="shared" ref="Y214" si="1302">IFERROR(X214/$I214,"")</f>
        <v>9.5238095238095233E-2</v>
      </c>
      <c r="Z214" s="5">
        <v>18</v>
      </c>
      <c r="AA214" s="46">
        <f t="shared" ref="AA214" si="1303">IFERROR(Z214/$I214,"")</f>
        <v>0.12244897959183673</v>
      </c>
      <c r="AB214" s="5">
        <v>85</v>
      </c>
      <c r="AC214" s="46">
        <f t="shared" si="1184"/>
        <v>0.4521276595744681</v>
      </c>
      <c r="AD214" s="5">
        <v>138</v>
      </c>
      <c r="AE214" s="5">
        <v>149440.63000000003</v>
      </c>
      <c r="AF214" s="5">
        <f t="shared" si="1185"/>
        <v>1758.1250588235298</v>
      </c>
      <c r="AG214" s="5">
        <v>0</v>
      </c>
      <c r="AH214" s="49">
        <f t="shared" si="1186"/>
        <v>0</v>
      </c>
      <c r="AI214" s="5">
        <v>27316</v>
      </c>
      <c r="AJ214" s="5">
        <v>0</v>
      </c>
      <c r="AK214" s="4">
        <v>31</v>
      </c>
      <c r="AL214" s="7">
        <v>25</v>
      </c>
      <c r="AM214" s="4">
        <v>4</v>
      </c>
      <c r="AN214" s="4">
        <v>2</v>
      </c>
      <c r="AO214" s="11">
        <f t="shared" si="1187"/>
        <v>74.193548387096769</v>
      </c>
      <c r="AP214" s="50">
        <f t="shared" si="1188"/>
        <v>0.16489361702127658</v>
      </c>
      <c r="AQ214" s="7">
        <v>188</v>
      </c>
      <c r="AR214" s="50">
        <f t="shared" si="1189"/>
        <v>1</v>
      </c>
      <c r="AS214" s="4"/>
    </row>
    <row r="215" spans="1:45" ht="18" customHeight="1" x14ac:dyDescent="0.3">
      <c r="A215" s="4" t="s">
        <v>39</v>
      </c>
      <c r="B215" s="4" t="s">
        <v>143</v>
      </c>
      <c r="C215" s="4" t="s">
        <v>47</v>
      </c>
      <c r="D215" s="4" t="s">
        <v>159</v>
      </c>
      <c r="E215" s="4" t="s">
        <v>160</v>
      </c>
      <c r="F215" s="7" t="s">
        <v>161</v>
      </c>
      <c r="G215" s="4" t="s">
        <v>65</v>
      </c>
      <c r="H215" s="5">
        <v>129</v>
      </c>
      <c r="I215" s="5">
        <v>121</v>
      </c>
      <c r="J215" s="6">
        <f t="shared" si="1176"/>
        <v>0.93798449612403101</v>
      </c>
      <c r="K215" s="5">
        <v>51</v>
      </c>
      <c r="L215" s="5">
        <v>24</v>
      </c>
      <c r="M215" s="5">
        <v>18</v>
      </c>
      <c r="N215" s="9">
        <v>8</v>
      </c>
      <c r="O215" s="46">
        <f t="shared" si="1177"/>
        <v>6.6115702479338845E-2</v>
      </c>
      <c r="P215" s="5">
        <v>7</v>
      </c>
      <c r="Q215" s="46">
        <f t="shared" ref="Q215" si="1304">IFERROR(P215/$I215,"")</f>
        <v>5.7851239669421489E-2</v>
      </c>
      <c r="R215" s="5">
        <v>36</v>
      </c>
      <c r="S215" s="46">
        <f t="shared" ref="S215" si="1305">IFERROR(R215/$I215,"")</f>
        <v>0.2975206611570248</v>
      </c>
      <c r="T215" s="5">
        <v>0</v>
      </c>
      <c r="U215" s="46">
        <f t="shared" ref="U215" si="1306">IFERROR(T215/$I215,"")</f>
        <v>0</v>
      </c>
      <c r="V215" s="5">
        <v>18</v>
      </c>
      <c r="W215" s="46">
        <f t="shared" ref="W215" si="1307">IFERROR(V215/$I215,"")</f>
        <v>0.1487603305785124</v>
      </c>
      <c r="X215" s="5">
        <v>17</v>
      </c>
      <c r="Y215" s="46">
        <f t="shared" ref="Y215" si="1308">IFERROR(X215/$I215,"")</f>
        <v>0.14049586776859505</v>
      </c>
      <c r="Z215" s="5">
        <v>14</v>
      </c>
      <c r="AA215" s="46">
        <f t="shared" ref="AA215" si="1309">IFERROR(Z215/$I215,"")</f>
        <v>0.11570247933884298</v>
      </c>
      <c r="AB215" s="5">
        <v>76</v>
      </c>
      <c r="AC215" s="46">
        <f t="shared" si="1184"/>
        <v>0.58914728682170547</v>
      </c>
      <c r="AD215" s="5">
        <v>119</v>
      </c>
      <c r="AE215" s="5">
        <v>131416.87999999995</v>
      </c>
      <c r="AF215" s="5">
        <f t="shared" si="1185"/>
        <v>1729.1694736842098</v>
      </c>
      <c r="AG215" s="5">
        <v>0</v>
      </c>
      <c r="AH215" s="49">
        <f t="shared" si="1186"/>
        <v>0</v>
      </c>
      <c r="AI215" s="5">
        <v>0</v>
      </c>
      <c r="AJ215" s="5">
        <v>0</v>
      </c>
      <c r="AK215" s="4">
        <v>27</v>
      </c>
      <c r="AL215" s="7">
        <v>27</v>
      </c>
      <c r="AM215" s="4">
        <v>0</v>
      </c>
      <c r="AN215" s="4">
        <v>0</v>
      </c>
      <c r="AO215" s="11">
        <f t="shared" si="1187"/>
        <v>100</v>
      </c>
      <c r="AP215" s="50">
        <f t="shared" si="1188"/>
        <v>0.20930232558139536</v>
      </c>
      <c r="AQ215" s="7">
        <v>129</v>
      </c>
      <c r="AR215" s="50">
        <f t="shared" si="1189"/>
        <v>1</v>
      </c>
      <c r="AS215" s="4"/>
    </row>
    <row r="216" spans="1:45" ht="18" customHeight="1" x14ac:dyDescent="0.3">
      <c r="A216" s="4" t="s">
        <v>40</v>
      </c>
      <c r="B216" s="4" t="s">
        <v>4</v>
      </c>
      <c r="C216" s="4" t="s">
        <v>47</v>
      </c>
      <c r="D216" s="4" t="s">
        <v>35</v>
      </c>
      <c r="E216" s="4" t="s">
        <v>2</v>
      </c>
      <c r="F216" s="7" t="s">
        <v>48</v>
      </c>
      <c r="G216" s="4" t="s">
        <v>57</v>
      </c>
      <c r="H216" s="5">
        <v>144</v>
      </c>
      <c r="I216" s="5">
        <v>109</v>
      </c>
      <c r="J216" s="6">
        <f t="shared" si="1176"/>
        <v>0.75694444444444442</v>
      </c>
      <c r="K216" s="5">
        <v>72</v>
      </c>
      <c r="L216" s="5">
        <v>39</v>
      </c>
      <c r="M216" s="5">
        <v>23</v>
      </c>
      <c r="N216" s="9">
        <v>11</v>
      </c>
      <c r="O216" s="46">
        <f t="shared" si="1177"/>
        <v>0.10091743119266056</v>
      </c>
      <c r="P216" s="5">
        <v>4</v>
      </c>
      <c r="Q216" s="46">
        <f t="shared" ref="Q216" si="1310">IFERROR(P216/$I216,"")</f>
        <v>3.669724770642202E-2</v>
      </c>
      <c r="R216" s="5">
        <v>54</v>
      </c>
      <c r="S216" s="46">
        <f t="shared" ref="S216" si="1311">IFERROR(R216/$I216,"")</f>
        <v>0.49541284403669728</v>
      </c>
      <c r="T216" s="5">
        <v>1</v>
      </c>
      <c r="U216" s="46">
        <f t="shared" ref="U216" si="1312">IFERROR(T216/$I216,"")</f>
        <v>9.1743119266055051E-3</v>
      </c>
      <c r="V216" s="5">
        <v>26</v>
      </c>
      <c r="W216" s="46">
        <f t="shared" ref="W216" si="1313">IFERROR(V216/$I216,"")</f>
        <v>0.23853211009174313</v>
      </c>
      <c r="X216" s="5">
        <v>27</v>
      </c>
      <c r="Y216" s="46">
        <f t="shared" ref="Y216" si="1314">IFERROR(X216/$I216,"")</f>
        <v>0.24770642201834864</v>
      </c>
      <c r="Z216" s="5">
        <v>50</v>
      </c>
      <c r="AA216" s="46">
        <f t="shared" ref="AA216" si="1315">IFERROR(Z216/$I216,"")</f>
        <v>0.45871559633027525</v>
      </c>
      <c r="AB216" s="5">
        <v>80</v>
      </c>
      <c r="AC216" s="46">
        <f t="shared" si="1184"/>
        <v>0.55555555555555558</v>
      </c>
      <c r="AD216" s="5">
        <v>99</v>
      </c>
      <c r="AE216" s="5">
        <v>153443.00999999992</v>
      </c>
      <c r="AF216" s="5">
        <f t="shared" si="1185"/>
        <v>1918.037624999999</v>
      </c>
      <c r="AG216" s="5">
        <v>450</v>
      </c>
      <c r="AH216" s="49">
        <f t="shared" si="1186"/>
        <v>4.1284403669724767</v>
      </c>
      <c r="AI216" s="5">
        <v>0</v>
      </c>
      <c r="AJ216" s="5">
        <v>14</v>
      </c>
      <c r="AK216" s="4">
        <v>15</v>
      </c>
      <c r="AL216" s="7">
        <v>12</v>
      </c>
      <c r="AM216" s="4">
        <v>3</v>
      </c>
      <c r="AN216" s="4">
        <v>0</v>
      </c>
      <c r="AO216" s="11">
        <f t="shared" si="1187"/>
        <v>80</v>
      </c>
      <c r="AP216" s="50">
        <f t="shared" si="1188"/>
        <v>0.10416666666666667</v>
      </c>
      <c r="AQ216" s="7">
        <v>144</v>
      </c>
      <c r="AR216" s="50">
        <f t="shared" si="1189"/>
        <v>1</v>
      </c>
      <c r="AS216" s="4"/>
    </row>
    <row r="217" spans="1:45" ht="18" customHeight="1" x14ac:dyDescent="0.3">
      <c r="A217" s="4" t="s">
        <v>40</v>
      </c>
      <c r="B217" s="4" t="s">
        <v>4</v>
      </c>
      <c r="C217" s="4" t="s">
        <v>47</v>
      </c>
      <c r="D217" s="4" t="s">
        <v>50</v>
      </c>
      <c r="E217" s="4" t="s">
        <v>51</v>
      </c>
      <c r="F217" s="7" t="s">
        <v>48</v>
      </c>
      <c r="G217" s="4" t="s">
        <v>57</v>
      </c>
      <c r="H217" s="5">
        <v>187</v>
      </c>
      <c r="I217" s="5">
        <v>139</v>
      </c>
      <c r="J217" s="6">
        <f t="shared" si="1176"/>
        <v>0.74331550802139035</v>
      </c>
      <c r="K217" s="5">
        <v>99</v>
      </c>
      <c r="L217" s="5">
        <v>45</v>
      </c>
      <c r="M217" s="5">
        <v>32</v>
      </c>
      <c r="N217" s="9">
        <v>26</v>
      </c>
      <c r="O217" s="46">
        <f t="shared" si="1177"/>
        <v>0.18705035971223022</v>
      </c>
      <c r="P217" s="5">
        <v>7</v>
      </c>
      <c r="Q217" s="46">
        <f t="shared" ref="Q217" si="1316">IFERROR(P217/$I217,"")</f>
        <v>5.0359712230215826E-2</v>
      </c>
      <c r="R217" s="5">
        <v>63</v>
      </c>
      <c r="S217" s="46">
        <f t="shared" ref="S217" si="1317">IFERROR(R217/$I217,"")</f>
        <v>0.45323741007194246</v>
      </c>
      <c r="T217" s="5">
        <v>0</v>
      </c>
      <c r="U217" s="46">
        <f t="shared" ref="U217" si="1318">IFERROR(T217/$I217,"")</f>
        <v>0</v>
      </c>
      <c r="V217" s="5">
        <v>35</v>
      </c>
      <c r="W217" s="46">
        <f t="shared" ref="W217" si="1319">IFERROR(V217/$I217,"")</f>
        <v>0.25179856115107913</v>
      </c>
      <c r="X217" s="5">
        <v>47</v>
      </c>
      <c r="Y217" s="46">
        <f t="shared" ref="Y217" si="1320">IFERROR(X217/$I217,"")</f>
        <v>0.33812949640287771</v>
      </c>
      <c r="Z217" s="5">
        <v>33</v>
      </c>
      <c r="AA217" s="46">
        <f t="shared" ref="AA217" si="1321">IFERROR(Z217/$I217,"")</f>
        <v>0.23741007194244604</v>
      </c>
      <c r="AB217" s="5">
        <v>85</v>
      </c>
      <c r="AC217" s="46">
        <f t="shared" si="1184"/>
        <v>0.45454545454545453</v>
      </c>
      <c r="AD217" s="5">
        <v>121</v>
      </c>
      <c r="AE217" s="5">
        <v>254207.2899999998</v>
      </c>
      <c r="AF217" s="5">
        <f t="shared" si="1185"/>
        <v>2990.6739999999977</v>
      </c>
      <c r="AG217" s="5">
        <v>0</v>
      </c>
      <c r="AH217" s="49">
        <f t="shared" si="1186"/>
        <v>0</v>
      </c>
      <c r="AI217" s="5">
        <v>0</v>
      </c>
      <c r="AJ217" s="5">
        <v>21</v>
      </c>
      <c r="AK217" s="4">
        <v>42</v>
      </c>
      <c r="AL217" s="7">
        <v>34</v>
      </c>
      <c r="AM217" s="4">
        <v>4</v>
      </c>
      <c r="AN217" s="4">
        <v>4</v>
      </c>
      <c r="AO217" s="11">
        <f t="shared" si="1187"/>
        <v>71.428571428571431</v>
      </c>
      <c r="AP217" s="50">
        <f t="shared" si="1188"/>
        <v>0.22459893048128343</v>
      </c>
      <c r="AQ217" s="7">
        <v>187</v>
      </c>
      <c r="AR217" s="50">
        <f t="shared" si="1189"/>
        <v>1</v>
      </c>
      <c r="AS217" s="4"/>
    </row>
    <row r="218" spans="1:45" ht="18" customHeight="1" x14ac:dyDescent="0.3">
      <c r="A218" s="4" t="s">
        <v>40</v>
      </c>
      <c r="B218" s="4" t="s">
        <v>4</v>
      </c>
      <c r="C218" s="4" t="s">
        <v>47</v>
      </c>
      <c r="D218" s="4" t="s">
        <v>52</v>
      </c>
      <c r="E218" s="4" t="s">
        <v>53</v>
      </c>
      <c r="F218" s="7" t="s">
        <v>48</v>
      </c>
      <c r="G218" s="4" t="s">
        <v>65</v>
      </c>
      <c r="H218" s="5">
        <v>141</v>
      </c>
      <c r="I218" s="5">
        <v>114</v>
      </c>
      <c r="J218" s="6">
        <f t="shared" si="1176"/>
        <v>0.80851063829787229</v>
      </c>
      <c r="K218" s="5">
        <v>89</v>
      </c>
      <c r="L218" s="5">
        <v>45</v>
      </c>
      <c r="M218" s="5">
        <v>24</v>
      </c>
      <c r="N218" s="9">
        <v>26</v>
      </c>
      <c r="O218" s="46">
        <f t="shared" si="1177"/>
        <v>0.22807017543859648</v>
      </c>
      <c r="P218" s="5">
        <v>8</v>
      </c>
      <c r="Q218" s="46">
        <f t="shared" ref="Q218" si="1322">IFERROR(P218/$I218,"")</f>
        <v>7.0175438596491224E-2</v>
      </c>
      <c r="R218" s="5">
        <v>71</v>
      </c>
      <c r="S218" s="46">
        <f t="shared" ref="S218" si="1323">IFERROR(R218/$I218,"")</f>
        <v>0.6228070175438597</v>
      </c>
      <c r="T218" s="5">
        <v>1</v>
      </c>
      <c r="U218" s="46">
        <f t="shared" ref="U218" si="1324">IFERROR(T218/$I218,"")</f>
        <v>8.771929824561403E-3</v>
      </c>
      <c r="V218" s="5">
        <v>24</v>
      </c>
      <c r="W218" s="46">
        <f t="shared" ref="W218" si="1325">IFERROR(V218/$I218,"")</f>
        <v>0.21052631578947367</v>
      </c>
      <c r="X218" s="5">
        <v>30</v>
      </c>
      <c r="Y218" s="46">
        <f t="shared" ref="Y218" si="1326">IFERROR(X218/$I218,"")</f>
        <v>0.26315789473684209</v>
      </c>
      <c r="Z218" s="5">
        <v>38</v>
      </c>
      <c r="AA218" s="46">
        <f t="shared" ref="AA218" si="1327">IFERROR(Z218/$I218,"")</f>
        <v>0.33333333333333331</v>
      </c>
      <c r="AB218" s="5">
        <v>65</v>
      </c>
      <c r="AC218" s="46">
        <f t="shared" si="1184"/>
        <v>0.46099290780141844</v>
      </c>
      <c r="AD218" s="5">
        <v>87</v>
      </c>
      <c r="AE218" s="5">
        <v>175365.18999999994</v>
      </c>
      <c r="AF218" s="5">
        <f t="shared" si="1185"/>
        <v>2697.925999999999</v>
      </c>
      <c r="AG218" s="5">
        <v>0</v>
      </c>
      <c r="AH218" s="49">
        <f t="shared" si="1186"/>
        <v>0</v>
      </c>
      <c r="AI218" s="5">
        <v>11197</v>
      </c>
      <c r="AJ218" s="5">
        <v>11</v>
      </c>
      <c r="AK218" s="4">
        <v>37</v>
      </c>
      <c r="AL218" s="7">
        <v>36</v>
      </c>
      <c r="AM218" s="4">
        <v>0</v>
      </c>
      <c r="AN218" s="4">
        <v>1</v>
      </c>
      <c r="AO218" s="11">
        <f t="shared" si="1187"/>
        <v>94.594594594594597</v>
      </c>
      <c r="AP218" s="50">
        <f t="shared" si="1188"/>
        <v>0.26241134751773049</v>
      </c>
      <c r="AQ218" s="7">
        <v>141</v>
      </c>
      <c r="AR218" s="50">
        <f t="shared" si="1189"/>
        <v>1</v>
      </c>
      <c r="AS218" s="4"/>
    </row>
    <row r="219" spans="1:45" ht="18" customHeight="1" x14ac:dyDescent="0.3">
      <c r="A219" s="4" t="s">
        <v>40</v>
      </c>
      <c r="B219" s="4" t="s">
        <v>4</v>
      </c>
      <c r="C219" s="4" t="s">
        <v>47</v>
      </c>
      <c r="D219" s="4" t="s">
        <v>55</v>
      </c>
      <c r="E219" s="4" t="s">
        <v>56</v>
      </c>
      <c r="F219" s="7" t="s">
        <v>48</v>
      </c>
      <c r="G219" s="4" t="s">
        <v>162</v>
      </c>
      <c r="H219" s="5">
        <v>161</v>
      </c>
      <c r="I219" s="5">
        <v>132</v>
      </c>
      <c r="J219" s="6">
        <f t="shared" si="1176"/>
        <v>0.81987577639751552</v>
      </c>
      <c r="K219" s="5">
        <v>85</v>
      </c>
      <c r="L219" s="5">
        <v>41</v>
      </c>
      <c r="M219" s="5">
        <v>19</v>
      </c>
      <c r="N219" s="9">
        <v>41</v>
      </c>
      <c r="O219" s="46">
        <f t="shared" si="1177"/>
        <v>0.31060606060606061</v>
      </c>
      <c r="P219" s="5">
        <v>9</v>
      </c>
      <c r="Q219" s="46">
        <f t="shared" ref="Q219" si="1328">IFERROR(P219/$I219,"")</f>
        <v>6.8181818181818177E-2</v>
      </c>
      <c r="R219" s="5">
        <v>73</v>
      </c>
      <c r="S219" s="46">
        <f t="shared" ref="S219" si="1329">IFERROR(R219/$I219,"")</f>
        <v>0.55303030303030298</v>
      </c>
      <c r="T219" s="5">
        <v>2</v>
      </c>
      <c r="U219" s="46">
        <f t="shared" ref="U219" si="1330">IFERROR(T219/$I219,"")</f>
        <v>1.5151515151515152E-2</v>
      </c>
      <c r="V219" s="5">
        <v>34</v>
      </c>
      <c r="W219" s="46">
        <f t="shared" ref="W219" si="1331">IFERROR(V219/$I219,"")</f>
        <v>0.25757575757575757</v>
      </c>
      <c r="X219" s="5">
        <v>35</v>
      </c>
      <c r="Y219" s="46">
        <f t="shared" ref="Y219" si="1332">IFERROR(X219/$I219,"")</f>
        <v>0.26515151515151514</v>
      </c>
      <c r="Z219" s="5">
        <v>41</v>
      </c>
      <c r="AA219" s="46">
        <f t="shared" ref="AA219" si="1333">IFERROR(Z219/$I219,"")</f>
        <v>0.31060606060606061</v>
      </c>
      <c r="AB219" s="5">
        <v>91</v>
      </c>
      <c r="AC219" s="46">
        <f t="shared" si="1184"/>
        <v>0.56521739130434778</v>
      </c>
      <c r="AD219" s="5">
        <v>123</v>
      </c>
      <c r="AE219" s="5">
        <v>285208.52999999997</v>
      </c>
      <c r="AF219" s="5">
        <f t="shared" si="1185"/>
        <v>3134.15967032967</v>
      </c>
      <c r="AG219" s="5">
        <v>406</v>
      </c>
      <c r="AH219" s="49">
        <f t="shared" si="1186"/>
        <v>3.0757575757575757</v>
      </c>
      <c r="AI219" s="5">
        <v>360</v>
      </c>
      <c r="AJ219" s="5">
        <v>9</v>
      </c>
      <c r="AK219" s="4">
        <v>38</v>
      </c>
      <c r="AL219" s="7">
        <v>32</v>
      </c>
      <c r="AM219" s="4">
        <v>3</v>
      </c>
      <c r="AN219" s="4">
        <v>3</v>
      </c>
      <c r="AO219" s="11">
        <f t="shared" si="1187"/>
        <v>76.31578947368422</v>
      </c>
      <c r="AP219" s="50">
        <f t="shared" si="1188"/>
        <v>0.2360248447204969</v>
      </c>
      <c r="AQ219" s="7">
        <v>161</v>
      </c>
      <c r="AR219" s="50">
        <f t="shared" si="1189"/>
        <v>1</v>
      </c>
      <c r="AS219" s="4"/>
    </row>
    <row r="220" spans="1:45" ht="18" customHeight="1" x14ac:dyDescent="0.3">
      <c r="A220" s="4" t="s">
        <v>40</v>
      </c>
      <c r="B220" s="4" t="s">
        <v>4</v>
      </c>
      <c r="C220" s="4" t="s">
        <v>47</v>
      </c>
      <c r="D220" s="4" t="s">
        <v>163</v>
      </c>
      <c r="E220" s="4" t="s">
        <v>149</v>
      </c>
      <c r="F220" s="7" t="s">
        <v>48</v>
      </c>
      <c r="G220" s="4" t="s">
        <v>88</v>
      </c>
      <c r="H220" s="5">
        <v>111</v>
      </c>
      <c r="I220" s="5">
        <v>98</v>
      </c>
      <c r="J220" s="6">
        <f t="shared" si="1176"/>
        <v>0.88288288288288286</v>
      </c>
      <c r="K220" s="5">
        <v>44</v>
      </c>
      <c r="L220" s="5">
        <v>18</v>
      </c>
      <c r="M220" s="5">
        <v>16</v>
      </c>
      <c r="N220" s="9">
        <v>0</v>
      </c>
      <c r="O220" s="46">
        <f t="shared" si="1177"/>
        <v>0</v>
      </c>
      <c r="P220" s="5">
        <v>2</v>
      </c>
      <c r="Q220" s="46">
        <f t="shared" ref="Q220" si="1334">IFERROR(P220/$I220,"")</f>
        <v>2.0408163265306121E-2</v>
      </c>
      <c r="R220" s="5">
        <v>46</v>
      </c>
      <c r="S220" s="46">
        <f t="shared" ref="S220" si="1335">IFERROR(R220/$I220,"")</f>
        <v>0.46938775510204084</v>
      </c>
      <c r="T220" s="5">
        <v>0</v>
      </c>
      <c r="U220" s="46">
        <f t="shared" ref="U220" si="1336">IFERROR(T220/$I220,"")</f>
        <v>0</v>
      </c>
      <c r="V220" s="5">
        <v>1</v>
      </c>
      <c r="W220" s="46">
        <f t="shared" ref="W220" si="1337">IFERROR(V220/$I220,"")</f>
        <v>1.020408163265306E-2</v>
      </c>
      <c r="X220" s="5">
        <v>1</v>
      </c>
      <c r="Y220" s="46">
        <f t="shared" ref="Y220" si="1338">IFERROR(X220/$I220,"")</f>
        <v>1.020408163265306E-2</v>
      </c>
      <c r="Z220" s="5">
        <v>9</v>
      </c>
      <c r="AA220" s="46">
        <f t="shared" ref="AA220" si="1339">IFERROR(Z220/$I220,"")</f>
        <v>9.1836734693877556E-2</v>
      </c>
      <c r="AB220" s="5">
        <v>62</v>
      </c>
      <c r="AC220" s="46">
        <f t="shared" si="1184"/>
        <v>0.55855855855855852</v>
      </c>
      <c r="AD220" s="5">
        <v>63</v>
      </c>
      <c r="AE220" s="5">
        <v>84386.789999999964</v>
      </c>
      <c r="AF220" s="5">
        <f t="shared" si="1185"/>
        <v>1361.0772580645155</v>
      </c>
      <c r="AG220" s="5">
        <v>0</v>
      </c>
      <c r="AH220" s="49">
        <f t="shared" si="1186"/>
        <v>0</v>
      </c>
      <c r="AI220" s="5">
        <v>0</v>
      </c>
      <c r="AJ220" s="5">
        <v>14</v>
      </c>
      <c r="AK220" s="4">
        <v>19</v>
      </c>
      <c r="AL220" s="7">
        <v>19</v>
      </c>
      <c r="AM220" s="4">
        <v>0</v>
      </c>
      <c r="AN220" s="4">
        <v>0</v>
      </c>
      <c r="AO220" s="11">
        <f t="shared" si="1187"/>
        <v>100</v>
      </c>
      <c r="AP220" s="50">
        <f t="shared" si="1188"/>
        <v>0.17117117117117117</v>
      </c>
      <c r="AQ220" s="7">
        <v>111</v>
      </c>
      <c r="AR220" s="50">
        <f t="shared" si="1189"/>
        <v>1</v>
      </c>
      <c r="AS220" s="4"/>
    </row>
    <row r="221" spans="1:45" ht="18" customHeight="1" x14ac:dyDescent="0.3">
      <c r="A221" s="4" t="s">
        <v>40</v>
      </c>
      <c r="B221" s="4" t="s">
        <v>4</v>
      </c>
      <c r="C221" s="4" t="s">
        <v>47</v>
      </c>
      <c r="D221" s="4" t="s">
        <v>164</v>
      </c>
      <c r="E221" s="4" t="s">
        <v>150</v>
      </c>
      <c r="F221" s="7" t="s">
        <v>48</v>
      </c>
      <c r="G221" s="4" t="s">
        <v>88</v>
      </c>
      <c r="H221" s="5">
        <v>145</v>
      </c>
      <c r="I221" s="5">
        <v>132</v>
      </c>
      <c r="J221" s="6">
        <f t="shared" si="1176"/>
        <v>0.91034482758620694</v>
      </c>
      <c r="K221" s="5">
        <v>49</v>
      </c>
      <c r="L221" s="5">
        <v>17</v>
      </c>
      <c r="M221" s="5">
        <v>15</v>
      </c>
      <c r="N221" s="9">
        <v>0</v>
      </c>
      <c r="O221" s="46">
        <f t="shared" si="1177"/>
        <v>0</v>
      </c>
      <c r="P221" s="5">
        <v>6</v>
      </c>
      <c r="Q221" s="46">
        <f t="shared" ref="Q221" si="1340">IFERROR(P221/$I221,"")</f>
        <v>4.5454545454545456E-2</v>
      </c>
      <c r="R221" s="5">
        <v>55</v>
      </c>
      <c r="S221" s="46">
        <f t="shared" ref="S221" si="1341">IFERROR(R221/$I221,"")</f>
        <v>0.41666666666666669</v>
      </c>
      <c r="T221" s="5">
        <v>1</v>
      </c>
      <c r="U221" s="46">
        <f t="shared" ref="U221" si="1342">IFERROR(T221/$I221,"")</f>
        <v>7.575757575757576E-3</v>
      </c>
      <c r="V221" s="5">
        <v>1</v>
      </c>
      <c r="W221" s="46">
        <f t="shared" ref="W221" si="1343">IFERROR(V221/$I221,"")</f>
        <v>7.575757575757576E-3</v>
      </c>
      <c r="X221" s="5">
        <v>7</v>
      </c>
      <c r="Y221" s="46">
        <f t="shared" ref="Y221" si="1344">IFERROR(X221/$I221,"")</f>
        <v>5.3030303030303032E-2</v>
      </c>
      <c r="Z221" s="5">
        <v>3</v>
      </c>
      <c r="AA221" s="46">
        <f t="shared" ref="AA221" si="1345">IFERROR(Z221/$I221,"")</f>
        <v>2.2727272727272728E-2</v>
      </c>
      <c r="AB221" s="5">
        <v>32</v>
      </c>
      <c r="AC221" s="46">
        <f t="shared" si="1184"/>
        <v>0.22068965517241379</v>
      </c>
      <c r="AD221" s="5">
        <v>34</v>
      </c>
      <c r="AE221" s="5">
        <v>60742.590000000011</v>
      </c>
      <c r="AF221" s="5">
        <f t="shared" si="1185"/>
        <v>1898.2059375000003</v>
      </c>
      <c r="AG221" s="5">
        <v>0</v>
      </c>
      <c r="AH221" s="49">
        <f t="shared" si="1186"/>
        <v>0</v>
      </c>
      <c r="AI221" s="5">
        <v>0</v>
      </c>
      <c r="AJ221" s="5">
        <v>17</v>
      </c>
      <c r="AK221" s="4">
        <v>16</v>
      </c>
      <c r="AL221" s="7">
        <v>11</v>
      </c>
      <c r="AM221" s="4">
        <v>2</v>
      </c>
      <c r="AN221" s="4">
        <v>3</v>
      </c>
      <c r="AO221" s="11">
        <f t="shared" si="1187"/>
        <v>50</v>
      </c>
      <c r="AP221" s="50">
        <f t="shared" si="1188"/>
        <v>0.1103448275862069</v>
      </c>
      <c r="AQ221" s="7">
        <v>145</v>
      </c>
      <c r="AR221" s="50">
        <f t="shared" si="1189"/>
        <v>1</v>
      </c>
      <c r="AS221" s="4"/>
    </row>
    <row r="222" spans="1:45" ht="18" customHeight="1" x14ac:dyDescent="0.3">
      <c r="A222" s="4" t="s">
        <v>40</v>
      </c>
      <c r="B222" s="4" t="s">
        <v>4</v>
      </c>
      <c r="C222" s="4" t="s">
        <v>47</v>
      </c>
      <c r="D222" s="4" t="s">
        <v>63</v>
      </c>
      <c r="E222" s="4" t="s">
        <v>64</v>
      </c>
      <c r="F222" s="7" t="s">
        <v>48</v>
      </c>
      <c r="G222" s="4" t="s">
        <v>65</v>
      </c>
      <c r="H222" s="5">
        <v>173</v>
      </c>
      <c r="I222" s="5">
        <v>126</v>
      </c>
      <c r="J222" s="6">
        <f t="shared" si="1176"/>
        <v>0.72832369942196529</v>
      </c>
      <c r="K222" s="5">
        <v>85</v>
      </c>
      <c r="L222" s="5">
        <v>40</v>
      </c>
      <c r="M222" s="5">
        <v>24</v>
      </c>
      <c r="N222" s="9">
        <v>14</v>
      </c>
      <c r="O222" s="46">
        <f t="shared" si="1177"/>
        <v>0.1111111111111111</v>
      </c>
      <c r="P222" s="5">
        <v>6</v>
      </c>
      <c r="Q222" s="46">
        <f t="shared" ref="Q222" si="1346">IFERROR(P222/$I222,"")</f>
        <v>4.7619047619047616E-2</v>
      </c>
      <c r="R222" s="5">
        <v>53</v>
      </c>
      <c r="S222" s="46">
        <f t="shared" ref="S222" si="1347">IFERROR(R222/$I222,"")</f>
        <v>0.42063492063492064</v>
      </c>
      <c r="T222" s="5">
        <v>0</v>
      </c>
      <c r="U222" s="46">
        <f t="shared" ref="U222" si="1348">IFERROR(T222/$I222,"")</f>
        <v>0</v>
      </c>
      <c r="V222" s="5">
        <v>22</v>
      </c>
      <c r="W222" s="46">
        <f t="shared" ref="W222" si="1349">IFERROR(V222/$I222,"")</f>
        <v>0.17460317460317459</v>
      </c>
      <c r="X222" s="5">
        <v>18</v>
      </c>
      <c r="Y222" s="46">
        <f t="shared" ref="Y222" si="1350">IFERROR(X222/$I222,"")</f>
        <v>0.14285714285714285</v>
      </c>
      <c r="Z222" s="5">
        <v>48</v>
      </c>
      <c r="AA222" s="46">
        <f t="shared" ref="AA222" si="1351">IFERROR(Z222/$I222,"")</f>
        <v>0.38095238095238093</v>
      </c>
      <c r="AB222" s="5">
        <v>74</v>
      </c>
      <c r="AC222" s="46">
        <f t="shared" si="1184"/>
        <v>0.4277456647398844</v>
      </c>
      <c r="AD222" s="5">
        <v>131</v>
      </c>
      <c r="AE222" s="5">
        <v>177665.02000000008</v>
      </c>
      <c r="AF222" s="5">
        <f t="shared" si="1185"/>
        <v>2400.8786486486497</v>
      </c>
      <c r="AG222" s="5">
        <v>1054</v>
      </c>
      <c r="AH222" s="49">
        <f t="shared" si="1186"/>
        <v>8.3650793650793656</v>
      </c>
      <c r="AI222" s="5">
        <v>360</v>
      </c>
      <c r="AJ222" s="5">
        <v>16</v>
      </c>
      <c r="AK222" s="4">
        <v>29</v>
      </c>
      <c r="AL222" s="7">
        <v>24</v>
      </c>
      <c r="AM222" s="4">
        <v>3</v>
      </c>
      <c r="AN222" s="4">
        <v>2</v>
      </c>
      <c r="AO222" s="11">
        <f t="shared" si="1187"/>
        <v>75.862068965517238</v>
      </c>
      <c r="AP222" s="50">
        <f t="shared" si="1188"/>
        <v>0.16763005780346821</v>
      </c>
      <c r="AQ222" s="7">
        <v>173</v>
      </c>
      <c r="AR222" s="50">
        <f t="shared" si="1189"/>
        <v>1</v>
      </c>
      <c r="AS222" s="4"/>
    </row>
    <row r="223" spans="1:45" ht="18" customHeight="1" x14ac:dyDescent="0.3">
      <c r="A223" s="4" t="s">
        <v>40</v>
      </c>
      <c r="B223" s="4" t="s">
        <v>4</v>
      </c>
      <c r="C223" s="4" t="s">
        <v>47</v>
      </c>
      <c r="D223" s="4" t="s">
        <v>66</v>
      </c>
      <c r="E223" s="4" t="s">
        <v>67</v>
      </c>
      <c r="F223" s="7" t="s">
        <v>48</v>
      </c>
      <c r="G223" s="4" t="s">
        <v>65</v>
      </c>
      <c r="H223" s="5">
        <v>230</v>
      </c>
      <c r="I223" s="5">
        <v>177</v>
      </c>
      <c r="J223" s="6">
        <f t="shared" si="1176"/>
        <v>0.76956521739130435</v>
      </c>
      <c r="K223" s="5">
        <v>116</v>
      </c>
      <c r="L223" s="5">
        <v>60</v>
      </c>
      <c r="M223" s="5">
        <v>45</v>
      </c>
      <c r="N223" s="9">
        <v>40</v>
      </c>
      <c r="O223" s="46">
        <f t="shared" si="1177"/>
        <v>0.22598870056497175</v>
      </c>
      <c r="P223" s="5">
        <v>5</v>
      </c>
      <c r="Q223" s="46">
        <f t="shared" ref="Q223" si="1352">IFERROR(P223/$I223,"")</f>
        <v>2.8248587570621469E-2</v>
      </c>
      <c r="R223" s="5">
        <v>55</v>
      </c>
      <c r="S223" s="46">
        <f t="shared" ref="S223" si="1353">IFERROR(R223/$I223,"")</f>
        <v>0.31073446327683618</v>
      </c>
      <c r="T223" s="5">
        <v>0</v>
      </c>
      <c r="U223" s="46">
        <f t="shared" ref="U223" si="1354">IFERROR(T223/$I223,"")</f>
        <v>0</v>
      </c>
      <c r="V223" s="5">
        <v>17</v>
      </c>
      <c r="W223" s="46">
        <f t="shared" ref="W223" si="1355">IFERROR(V223/$I223,"")</f>
        <v>9.6045197740112997E-2</v>
      </c>
      <c r="X223" s="5">
        <v>20</v>
      </c>
      <c r="Y223" s="46">
        <f t="shared" ref="Y223" si="1356">IFERROR(X223/$I223,"")</f>
        <v>0.11299435028248588</v>
      </c>
      <c r="Z223" s="5">
        <v>19</v>
      </c>
      <c r="AA223" s="46">
        <f t="shared" ref="AA223" si="1357">IFERROR(Z223/$I223,"")</f>
        <v>0.10734463276836158</v>
      </c>
      <c r="AB223" s="5">
        <v>50</v>
      </c>
      <c r="AC223" s="46">
        <f t="shared" si="1184"/>
        <v>0.21739130434782608</v>
      </c>
      <c r="AD223" s="5">
        <v>53</v>
      </c>
      <c r="AE223" s="5">
        <v>168148.30999999994</v>
      </c>
      <c r="AF223" s="5">
        <f t="shared" si="1185"/>
        <v>3362.9661999999989</v>
      </c>
      <c r="AG223" s="5">
        <v>211</v>
      </c>
      <c r="AH223" s="49">
        <f t="shared" si="1186"/>
        <v>1.192090395480226</v>
      </c>
      <c r="AI223" s="5">
        <v>720</v>
      </c>
      <c r="AJ223" s="5">
        <v>38</v>
      </c>
      <c r="AK223" s="4">
        <v>23</v>
      </c>
      <c r="AL223" s="7">
        <v>21</v>
      </c>
      <c r="AM223" s="4">
        <v>2</v>
      </c>
      <c r="AN223" s="4">
        <v>0</v>
      </c>
      <c r="AO223" s="11">
        <f t="shared" si="1187"/>
        <v>91.304347826086953</v>
      </c>
      <c r="AP223" s="50">
        <f t="shared" si="1188"/>
        <v>0.1</v>
      </c>
      <c r="AQ223" s="7">
        <v>230</v>
      </c>
      <c r="AR223" s="50">
        <f t="shared" si="1189"/>
        <v>1</v>
      </c>
      <c r="AS223" s="4"/>
    </row>
    <row r="224" spans="1:45" ht="18" customHeight="1" x14ac:dyDescent="0.3">
      <c r="A224" s="4" t="s">
        <v>40</v>
      </c>
      <c r="B224" s="4" t="s">
        <v>4</v>
      </c>
      <c r="C224" s="4" t="s">
        <v>47</v>
      </c>
      <c r="D224" s="4" t="s">
        <v>68</v>
      </c>
      <c r="E224" s="4" t="s">
        <v>69</v>
      </c>
      <c r="F224" s="7" t="s">
        <v>48</v>
      </c>
      <c r="G224" s="4" t="s">
        <v>162</v>
      </c>
      <c r="H224" s="5">
        <v>150</v>
      </c>
      <c r="I224" s="5">
        <v>122</v>
      </c>
      <c r="J224" s="6">
        <f t="shared" si="1176"/>
        <v>0.81333333333333335</v>
      </c>
      <c r="K224" s="5">
        <v>82</v>
      </c>
      <c r="L224" s="5">
        <v>38</v>
      </c>
      <c r="M224" s="5">
        <v>25</v>
      </c>
      <c r="N224" s="9">
        <v>25</v>
      </c>
      <c r="O224" s="46">
        <f t="shared" si="1177"/>
        <v>0.20491803278688525</v>
      </c>
      <c r="P224" s="5">
        <v>8</v>
      </c>
      <c r="Q224" s="46">
        <f t="shared" ref="Q224" si="1358">IFERROR(P224/$I224,"")</f>
        <v>6.5573770491803282E-2</v>
      </c>
      <c r="R224" s="5">
        <v>62</v>
      </c>
      <c r="S224" s="46">
        <f t="shared" ref="S224" si="1359">IFERROR(R224/$I224,"")</f>
        <v>0.50819672131147542</v>
      </c>
      <c r="T224" s="5">
        <v>2</v>
      </c>
      <c r="U224" s="46">
        <f t="shared" ref="U224" si="1360">IFERROR(T224/$I224,"")</f>
        <v>1.6393442622950821E-2</v>
      </c>
      <c r="V224" s="5">
        <v>26</v>
      </c>
      <c r="W224" s="46">
        <f t="shared" ref="W224" si="1361">IFERROR(V224/$I224,"")</f>
        <v>0.21311475409836064</v>
      </c>
      <c r="X224" s="5">
        <v>31</v>
      </c>
      <c r="Y224" s="46">
        <f t="shared" ref="Y224" si="1362">IFERROR(X224/$I224,"")</f>
        <v>0.25409836065573771</v>
      </c>
      <c r="Z224" s="5">
        <v>23</v>
      </c>
      <c r="AA224" s="46">
        <f t="shared" ref="AA224" si="1363">IFERROR(Z224/$I224,"")</f>
        <v>0.18852459016393441</v>
      </c>
      <c r="AB224" s="5">
        <v>81</v>
      </c>
      <c r="AC224" s="46">
        <f t="shared" si="1184"/>
        <v>0.54</v>
      </c>
      <c r="AD224" s="5">
        <v>107</v>
      </c>
      <c r="AE224" s="5">
        <v>209875.03999999986</v>
      </c>
      <c r="AF224" s="5">
        <f t="shared" si="1185"/>
        <v>2591.049876543208</v>
      </c>
      <c r="AG224" s="5">
        <v>0</v>
      </c>
      <c r="AH224" s="49">
        <f t="shared" si="1186"/>
        <v>0</v>
      </c>
      <c r="AI224" s="5">
        <v>0</v>
      </c>
      <c r="AJ224" s="5">
        <v>13</v>
      </c>
      <c r="AK224" s="4">
        <v>31</v>
      </c>
      <c r="AL224" s="7">
        <v>30</v>
      </c>
      <c r="AM224" s="4">
        <v>1</v>
      </c>
      <c r="AN224" s="4">
        <v>0</v>
      </c>
      <c r="AO224" s="11">
        <f t="shared" si="1187"/>
        <v>96.774193548387103</v>
      </c>
      <c r="AP224" s="50">
        <f t="shared" si="1188"/>
        <v>0.20666666666666667</v>
      </c>
      <c r="AQ224" s="7">
        <v>150</v>
      </c>
      <c r="AR224" s="50">
        <f t="shared" si="1189"/>
        <v>1</v>
      </c>
      <c r="AS224" s="4"/>
    </row>
    <row r="225" spans="1:45" ht="18" customHeight="1" x14ac:dyDescent="0.3">
      <c r="A225" s="4" t="s">
        <v>40</v>
      </c>
      <c r="B225" s="4" t="s">
        <v>4</v>
      </c>
      <c r="C225" s="4" t="s">
        <v>47</v>
      </c>
      <c r="D225" s="4" t="s">
        <v>165</v>
      </c>
      <c r="E225" s="4" t="s">
        <v>75</v>
      </c>
      <c r="F225" s="7" t="s">
        <v>48</v>
      </c>
      <c r="G225" s="4" t="s">
        <v>81</v>
      </c>
      <c r="H225" s="5">
        <v>168</v>
      </c>
      <c r="I225" s="5">
        <v>139</v>
      </c>
      <c r="J225" s="6">
        <f t="shared" si="1176"/>
        <v>0.82738095238095233</v>
      </c>
      <c r="K225" s="5">
        <v>83</v>
      </c>
      <c r="L225" s="5">
        <v>41</v>
      </c>
      <c r="M225" s="5">
        <v>29</v>
      </c>
      <c r="N225" s="9">
        <v>24</v>
      </c>
      <c r="O225" s="46">
        <f t="shared" si="1177"/>
        <v>0.17266187050359713</v>
      </c>
      <c r="P225" s="5">
        <v>7</v>
      </c>
      <c r="Q225" s="46">
        <f t="shared" ref="Q225" si="1364">IFERROR(P225/$I225,"")</f>
        <v>5.0359712230215826E-2</v>
      </c>
      <c r="R225" s="5">
        <v>70</v>
      </c>
      <c r="S225" s="46">
        <f t="shared" ref="S225" si="1365">IFERROR(R225/$I225,"")</f>
        <v>0.50359712230215825</v>
      </c>
      <c r="T225" s="5">
        <v>0</v>
      </c>
      <c r="U225" s="46">
        <f t="shared" ref="U225" si="1366">IFERROR(T225/$I225,"")</f>
        <v>0</v>
      </c>
      <c r="V225" s="5">
        <v>46</v>
      </c>
      <c r="W225" s="46">
        <f t="shared" ref="W225" si="1367">IFERROR(V225/$I225,"")</f>
        <v>0.33093525179856115</v>
      </c>
      <c r="X225" s="5">
        <v>49</v>
      </c>
      <c r="Y225" s="46">
        <f t="shared" ref="Y225" si="1368">IFERROR(X225/$I225,"")</f>
        <v>0.35251798561151076</v>
      </c>
      <c r="Z225" s="5">
        <v>47</v>
      </c>
      <c r="AA225" s="46">
        <f t="shared" ref="AA225" si="1369">IFERROR(Z225/$I225,"")</f>
        <v>0.33812949640287771</v>
      </c>
      <c r="AB225" s="5">
        <v>81</v>
      </c>
      <c r="AC225" s="46">
        <f t="shared" si="1184"/>
        <v>0.48214285714285715</v>
      </c>
      <c r="AD225" s="5">
        <v>94</v>
      </c>
      <c r="AE225" s="5">
        <v>164521.76999999996</v>
      </c>
      <c r="AF225" s="5">
        <f t="shared" si="1185"/>
        <v>2031.1329629629624</v>
      </c>
      <c r="AG225" s="5">
        <v>1338.96</v>
      </c>
      <c r="AH225" s="49">
        <f t="shared" si="1186"/>
        <v>9.6328057553956832</v>
      </c>
      <c r="AI225" s="5">
        <v>0</v>
      </c>
      <c r="AJ225" s="5">
        <v>21</v>
      </c>
      <c r="AK225" s="4">
        <v>20</v>
      </c>
      <c r="AL225" s="7">
        <v>15</v>
      </c>
      <c r="AM225" s="4">
        <v>1</v>
      </c>
      <c r="AN225" s="4">
        <v>4</v>
      </c>
      <c r="AO225" s="11">
        <f t="shared" si="1187"/>
        <v>55.000000000000007</v>
      </c>
      <c r="AP225" s="50">
        <f t="shared" si="1188"/>
        <v>0.11904761904761904</v>
      </c>
      <c r="AQ225" s="7">
        <v>168</v>
      </c>
      <c r="AR225" s="50">
        <f t="shared" si="1189"/>
        <v>1</v>
      </c>
      <c r="AS225" s="4"/>
    </row>
    <row r="226" spans="1:45" ht="18" customHeight="1" x14ac:dyDescent="0.3">
      <c r="A226" s="4" t="s">
        <v>40</v>
      </c>
      <c r="B226" s="4" t="s">
        <v>4</v>
      </c>
      <c r="C226" s="4" t="s">
        <v>47</v>
      </c>
      <c r="D226" s="4" t="s">
        <v>166</v>
      </c>
      <c r="E226" s="4" t="s">
        <v>153</v>
      </c>
      <c r="F226" s="7" t="s">
        <v>48</v>
      </c>
      <c r="G226" s="4" t="s">
        <v>88</v>
      </c>
      <c r="H226" s="5">
        <v>48</v>
      </c>
      <c r="I226" s="5">
        <v>41</v>
      </c>
      <c r="J226" s="6">
        <f t="shared" si="1176"/>
        <v>0.85416666666666663</v>
      </c>
      <c r="K226" s="5">
        <v>22</v>
      </c>
      <c r="L226" s="5">
        <v>12</v>
      </c>
      <c r="M226" s="5">
        <v>8</v>
      </c>
      <c r="N226" s="9">
        <v>0</v>
      </c>
      <c r="O226" s="46">
        <f t="shared" si="1177"/>
        <v>0</v>
      </c>
      <c r="P226" s="5">
        <v>2</v>
      </c>
      <c r="Q226" s="46">
        <f t="shared" ref="Q226" si="1370">IFERROR(P226/$I226,"")</f>
        <v>4.878048780487805E-2</v>
      </c>
      <c r="R226" s="5">
        <v>15</v>
      </c>
      <c r="S226" s="46">
        <f t="shared" ref="S226" si="1371">IFERROR(R226/$I226,"")</f>
        <v>0.36585365853658536</v>
      </c>
      <c r="T226" s="5">
        <v>0</v>
      </c>
      <c r="U226" s="46">
        <f t="shared" ref="U226" si="1372">IFERROR(T226/$I226,"")</f>
        <v>0</v>
      </c>
      <c r="V226" s="5">
        <v>0</v>
      </c>
      <c r="W226" s="46">
        <f t="shared" ref="W226" si="1373">IFERROR(V226/$I226,"")</f>
        <v>0</v>
      </c>
      <c r="X226" s="5">
        <v>7</v>
      </c>
      <c r="Y226" s="46">
        <f t="shared" ref="Y226" si="1374">IFERROR(X226/$I226,"")</f>
        <v>0.17073170731707318</v>
      </c>
      <c r="Z226" s="5">
        <v>11</v>
      </c>
      <c r="AA226" s="46">
        <f t="shared" ref="AA226" si="1375">IFERROR(Z226/$I226,"")</f>
        <v>0.26829268292682928</v>
      </c>
      <c r="AB226" s="5">
        <v>22</v>
      </c>
      <c r="AC226" s="46">
        <f t="shared" si="1184"/>
        <v>0.45833333333333331</v>
      </c>
      <c r="AD226" s="5">
        <v>22</v>
      </c>
      <c r="AE226" s="5">
        <v>32325.479999999992</v>
      </c>
      <c r="AF226" s="5">
        <f t="shared" si="1185"/>
        <v>1469.3399999999997</v>
      </c>
      <c r="AG226" s="5">
        <v>0</v>
      </c>
      <c r="AH226" s="49">
        <f t="shared" si="1186"/>
        <v>0</v>
      </c>
      <c r="AI226" s="5">
        <v>0</v>
      </c>
      <c r="AJ226" s="5">
        <v>7</v>
      </c>
      <c r="AK226" s="4">
        <v>8</v>
      </c>
      <c r="AL226" s="7">
        <v>3</v>
      </c>
      <c r="AM226" s="4">
        <v>3</v>
      </c>
      <c r="AN226" s="4">
        <v>2</v>
      </c>
      <c r="AO226" s="11">
        <f t="shared" si="1187"/>
        <v>12.5</v>
      </c>
      <c r="AP226" s="50">
        <f t="shared" si="1188"/>
        <v>0.16666666666666666</v>
      </c>
      <c r="AQ226" s="7">
        <v>48</v>
      </c>
      <c r="AR226" s="50">
        <f t="shared" si="1189"/>
        <v>1</v>
      </c>
      <c r="AS226" s="4"/>
    </row>
    <row r="227" spans="1:45" ht="18" customHeight="1" x14ac:dyDescent="0.3">
      <c r="A227" s="4" t="s">
        <v>40</v>
      </c>
      <c r="B227" s="4" t="s">
        <v>4</v>
      </c>
      <c r="C227" s="4" t="s">
        <v>47</v>
      </c>
      <c r="D227" s="4" t="s">
        <v>167</v>
      </c>
      <c r="E227" s="4" t="s">
        <v>60</v>
      </c>
      <c r="F227" s="7" t="s">
        <v>48</v>
      </c>
      <c r="G227" s="4" t="s">
        <v>61</v>
      </c>
      <c r="H227" s="5">
        <v>75</v>
      </c>
      <c r="I227" s="5">
        <v>55</v>
      </c>
      <c r="J227" s="6">
        <f t="shared" si="1176"/>
        <v>0.73333333333333328</v>
      </c>
      <c r="K227" s="5">
        <v>33</v>
      </c>
      <c r="L227" s="5">
        <v>15</v>
      </c>
      <c r="M227" s="5">
        <v>12</v>
      </c>
      <c r="N227" s="9">
        <v>4</v>
      </c>
      <c r="O227" s="46">
        <f t="shared" si="1177"/>
        <v>7.2727272727272724E-2</v>
      </c>
      <c r="P227" s="5">
        <v>7</v>
      </c>
      <c r="Q227" s="46">
        <f t="shared" ref="Q227" si="1376">IFERROR(P227/$I227,"")</f>
        <v>0.12727272727272726</v>
      </c>
      <c r="R227" s="5">
        <v>29</v>
      </c>
      <c r="S227" s="46">
        <f t="shared" ref="S227" si="1377">IFERROR(R227/$I227,"")</f>
        <v>0.52727272727272723</v>
      </c>
      <c r="T227" s="5">
        <v>0</v>
      </c>
      <c r="U227" s="46">
        <f t="shared" ref="U227" si="1378">IFERROR(T227/$I227,"")</f>
        <v>0</v>
      </c>
      <c r="V227" s="5">
        <v>9</v>
      </c>
      <c r="W227" s="46">
        <f t="shared" ref="W227" si="1379">IFERROR(V227/$I227,"")</f>
        <v>0.16363636363636364</v>
      </c>
      <c r="X227" s="5">
        <v>7</v>
      </c>
      <c r="Y227" s="46">
        <f t="shared" ref="Y227" si="1380">IFERROR(X227/$I227,"")</f>
        <v>0.12727272727272726</v>
      </c>
      <c r="Z227" s="5">
        <v>24</v>
      </c>
      <c r="AA227" s="46">
        <f t="shared" ref="AA227" si="1381">IFERROR(Z227/$I227,"")</f>
        <v>0.43636363636363634</v>
      </c>
      <c r="AB227" s="5">
        <v>36</v>
      </c>
      <c r="AC227" s="46">
        <f t="shared" si="1184"/>
        <v>0.48</v>
      </c>
      <c r="AD227" s="5">
        <v>36</v>
      </c>
      <c r="AE227" s="5">
        <v>66530.38</v>
      </c>
      <c r="AF227" s="5">
        <f t="shared" si="1185"/>
        <v>1848.0661111111112</v>
      </c>
      <c r="AG227" s="5">
        <v>1583.6100000000001</v>
      </c>
      <c r="AH227" s="49">
        <f t="shared" si="1186"/>
        <v>28.792909090909092</v>
      </c>
      <c r="AI227" s="5">
        <v>1924</v>
      </c>
      <c r="AJ227" s="5">
        <v>9</v>
      </c>
      <c r="AK227" s="4">
        <v>4</v>
      </c>
      <c r="AL227" s="7">
        <v>4</v>
      </c>
      <c r="AM227" s="4">
        <v>0</v>
      </c>
      <c r="AN227" s="4">
        <v>0</v>
      </c>
      <c r="AO227" s="11">
        <f t="shared" si="1187"/>
        <v>100</v>
      </c>
      <c r="AP227" s="50">
        <f t="shared" si="1188"/>
        <v>5.3333333333333337E-2</v>
      </c>
      <c r="AQ227" s="7">
        <v>75</v>
      </c>
      <c r="AR227" s="50">
        <f t="shared" si="1189"/>
        <v>1</v>
      </c>
      <c r="AS227" s="4"/>
    </row>
    <row r="228" spans="1:45" ht="18" customHeight="1" x14ac:dyDescent="0.3">
      <c r="A228" s="4" t="s">
        <v>40</v>
      </c>
      <c r="B228" s="4" t="s">
        <v>4</v>
      </c>
      <c r="C228" s="4" t="s">
        <v>47</v>
      </c>
      <c r="D228" s="4" t="s">
        <v>70</v>
      </c>
      <c r="E228" s="4" t="s">
        <v>71</v>
      </c>
      <c r="F228" s="7" t="s">
        <v>48</v>
      </c>
      <c r="G228" s="4" t="s">
        <v>49</v>
      </c>
      <c r="H228" s="5">
        <v>189</v>
      </c>
      <c r="I228" s="5">
        <v>165</v>
      </c>
      <c r="J228" s="6">
        <f t="shared" si="1176"/>
        <v>0.87301587301587302</v>
      </c>
      <c r="K228" s="5">
        <v>94</v>
      </c>
      <c r="L228" s="5">
        <v>46</v>
      </c>
      <c r="M228" s="5">
        <v>33</v>
      </c>
      <c r="N228" s="9">
        <v>4</v>
      </c>
      <c r="O228" s="46">
        <f t="shared" si="1177"/>
        <v>2.4242424242424242E-2</v>
      </c>
      <c r="P228" s="5">
        <v>12</v>
      </c>
      <c r="Q228" s="46">
        <f t="shared" ref="Q228" si="1382">IFERROR(P228/$I228,"")</f>
        <v>7.2727272727272724E-2</v>
      </c>
      <c r="R228" s="5">
        <v>68</v>
      </c>
      <c r="S228" s="46">
        <f t="shared" ref="S228" si="1383">IFERROR(R228/$I228,"")</f>
        <v>0.41212121212121211</v>
      </c>
      <c r="T228" s="5">
        <v>0</v>
      </c>
      <c r="U228" s="46">
        <f t="shared" ref="U228" si="1384">IFERROR(T228/$I228,"")</f>
        <v>0</v>
      </c>
      <c r="V228" s="5">
        <v>37</v>
      </c>
      <c r="W228" s="46">
        <f t="shared" ref="W228" si="1385">IFERROR(V228/$I228,"")</f>
        <v>0.22424242424242424</v>
      </c>
      <c r="X228" s="5">
        <v>44</v>
      </c>
      <c r="Y228" s="46">
        <f t="shared" ref="Y228" si="1386">IFERROR(X228/$I228,"")</f>
        <v>0.26666666666666666</v>
      </c>
      <c r="Z228" s="5">
        <v>34</v>
      </c>
      <c r="AA228" s="46">
        <f t="shared" ref="AA228" si="1387">IFERROR(Z228/$I228,"")</f>
        <v>0.20606060606060606</v>
      </c>
      <c r="AB228" s="5">
        <v>118</v>
      </c>
      <c r="AC228" s="46">
        <f t="shared" si="1184"/>
        <v>0.6243386243386243</v>
      </c>
      <c r="AD228" s="5">
        <v>137</v>
      </c>
      <c r="AE228" s="5">
        <v>284416.05000000016</v>
      </c>
      <c r="AF228" s="5">
        <f t="shared" si="1185"/>
        <v>2410.3055084745774</v>
      </c>
      <c r="AG228" s="5">
        <v>0</v>
      </c>
      <c r="AH228" s="49">
        <f t="shared" si="1186"/>
        <v>0</v>
      </c>
      <c r="AI228" s="5">
        <v>0</v>
      </c>
      <c r="AJ228" s="5">
        <v>16</v>
      </c>
      <c r="AK228" s="4">
        <v>29</v>
      </c>
      <c r="AL228" s="7">
        <v>25</v>
      </c>
      <c r="AM228" s="4">
        <v>2</v>
      </c>
      <c r="AN228" s="4">
        <v>2</v>
      </c>
      <c r="AO228" s="11">
        <f t="shared" si="1187"/>
        <v>79.310344827586206</v>
      </c>
      <c r="AP228" s="50">
        <f t="shared" si="1188"/>
        <v>0.15343915343915343</v>
      </c>
      <c r="AQ228" s="7">
        <v>189</v>
      </c>
      <c r="AR228" s="50">
        <f t="shared" si="1189"/>
        <v>1</v>
      </c>
      <c r="AS228" s="4"/>
    </row>
    <row r="229" spans="1:45" ht="18" customHeight="1" x14ac:dyDescent="0.3">
      <c r="A229" s="4" t="s">
        <v>40</v>
      </c>
      <c r="B229" s="4" t="s">
        <v>4</v>
      </c>
      <c r="C229" s="4" t="s">
        <v>47</v>
      </c>
      <c r="D229" s="4" t="s">
        <v>168</v>
      </c>
      <c r="E229" s="4" t="s">
        <v>62</v>
      </c>
      <c r="F229" s="7" t="s">
        <v>48</v>
      </c>
      <c r="G229" s="4" t="s">
        <v>162</v>
      </c>
      <c r="H229" s="5">
        <v>35</v>
      </c>
      <c r="I229" s="5">
        <v>30</v>
      </c>
      <c r="J229" s="6">
        <f t="shared" si="1176"/>
        <v>0.8571428571428571</v>
      </c>
      <c r="K229" s="5">
        <v>21</v>
      </c>
      <c r="L229" s="5">
        <v>11</v>
      </c>
      <c r="M229" s="5">
        <v>6</v>
      </c>
      <c r="N229" s="9">
        <v>8</v>
      </c>
      <c r="O229" s="46">
        <f t="shared" si="1177"/>
        <v>0.26666666666666666</v>
      </c>
      <c r="P229" s="5">
        <v>2</v>
      </c>
      <c r="Q229" s="46">
        <f t="shared" ref="Q229" si="1388">IFERROR(P229/$I229,"")</f>
        <v>6.6666666666666666E-2</v>
      </c>
      <c r="R229" s="5">
        <v>14</v>
      </c>
      <c r="S229" s="46">
        <f t="shared" ref="S229" si="1389">IFERROR(R229/$I229,"")</f>
        <v>0.46666666666666667</v>
      </c>
      <c r="T229" s="5">
        <v>0</v>
      </c>
      <c r="U229" s="46">
        <f t="shared" ref="U229" si="1390">IFERROR(T229/$I229,"")</f>
        <v>0</v>
      </c>
      <c r="V229" s="5">
        <v>9</v>
      </c>
      <c r="W229" s="46">
        <f t="shared" ref="W229" si="1391">IFERROR(V229/$I229,"")</f>
        <v>0.3</v>
      </c>
      <c r="X229" s="5">
        <v>12</v>
      </c>
      <c r="Y229" s="46">
        <f t="shared" ref="Y229" si="1392">IFERROR(X229/$I229,"")</f>
        <v>0.4</v>
      </c>
      <c r="Z229" s="5">
        <v>6</v>
      </c>
      <c r="AA229" s="46">
        <f t="shared" ref="AA229" si="1393">IFERROR(Z229/$I229,"")</f>
        <v>0.2</v>
      </c>
      <c r="AB229" s="5">
        <v>19</v>
      </c>
      <c r="AC229" s="46">
        <f t="shared" si="1184"/>
        <v>0.54285714285714282</v>
      </c>
      <c r="AD229" s="5">
        <v>20</v>
      </c>
      <c r="AE229" s="5">
        <v>50393.010000000009</v>
      </c>
      <c r="AF229" s="5">
        <f t="shared" si="1185"/>
        <v>2652.2636842105267</v>
      </c>
      <c r="AG229" s="5">
        <v>0</v>
      </c>
      <c r="AH229" s="49">
        <f t="shared" si="1186"/>
        <v>0</v>
      </c>
      <c r="AI229" s="5">
        <v>0</v>
      </c>
      <c r="AJ229" s="5">
        <v>2</v>
      </c>
      <c r="AK229" s="4">
        <v>4</v>
      </c>
      <c r="AL229" s="7">
        <v>4</v>
      </c>
      <c r="AM229" s="4">
        <v>0</v>
      </c>
      <c r="AN229" s="4">
        <v>0</v>
      </c>
      <c r="AO229" s="11">
        <f t="shared" si="1187"/>
        <v>100</v>
      </c>
      <c r="AP229" s="50">
        <f t="shared" si="1188"/>
        <v>0.11428571428571428</v>
      </c>
      <c r="AQ229" s="7">
        <v>35</v>
      </c>
      <c r="AR229" s="50">
        <f t="shared" si="1189"/>
        <v>1</v>
      </c>
      <c r="AS229" s="4"/>
    </row>
    <row r="230" spans="1:45" ht="18" customHeight="1" x14ac:dyDescent="0.3">
      <c r="A230" s="4" t="s">
        <v>40</v>
      </c>
      <c r="B230" s="4" t="s">
        <v>4</v>
      </c>
      <c r="C230" s="4" t="s">
        <v>47</v>
      </c>
      <c r="D230" s="4" t="s">
        <v>58</v>
      </c>
      <c r="E230" s="4" t="s">
        <v>59</v>
      </c>
      <c r="F230" s="7" t="s">
        <v>48</v>
      </c>
      <c r="G230" s="4" t="s">
        <v>162</v>
      </c>
      <c r="H230" s="5">
        <v>159</v>
      </c>
      <c r="I230" s="5">
        <v>138</v>
      </c>
      <c r="J230" s="6">
        <f t="shared" si="1176"/>
        <v>0.86792452830188682</v>
      </c>
      <c r="K230" s="5">
        <v>88</v>
      </c>
      <c r="L230" s="5">
        <v>49</v>
      </c>
      <c r="M230" s="5">
        <v>25</v>
      </c>
      <c r="N230" s="9">
        <v>14</v>
      </c>
      <c r="O230" s="46">
        <f t="shared" si="1177"/>
        <v>0.10144927536231885</v>
      </c>
      <c r="P230" s="5">
        <v>5</v>
      </c>
      <c r="Q230" s="46">
        <f t="shared" ref="Q230" si="1394">IFERROR(P230/$I230,"")</f>
        <v>3.6231884057971016E-2</v>
      </c>
      <c r="R230" s="5">
        <v>53</v>
      </c>
      <c r="S230" s="46">
        <f t="shared" ref="S230" si="1395">IFERROR(R230/$I230,"")</f>
        <v>0.38405797101449274</v>
      </c>
      <c r="T230" s="5">
        <v>0</v>
      </c>
      <c r="U230" s="46">
        <f t="shared" ref="U230" si="1396">IFERROR(T230/$I230,"")</f>
        <v>0</v>
      </c>
      <c r="V230" s="5">
        <v>30</v>
      </c>
      <c r="W230" s="46">
        <f t="shared" ref="W230" si="1397">IFERROR(V230/$I230,"")</f>
        <v>0.21739130434782608</v>
      </c>
      <c r="X230" s="5">
        <v>22</v>
      </c>
      <c r="Y230" s="46">
        <f t="shared" ref="Y230" si="1398">IFERROR(X230/$I230,"")</f>
        <v>0.15942028985507245</v>
      </c>
      <c r="Z230" s="5">
        <v>32</v>
      </c>
      <c r="AA230" s="46">
        <f t="shared" ref="AA230" si="1399">IFERROR(Z230/$I230,"")</f>
        <v>0.2318840579710145</v>
      </c>
      <c r="AB230" s="5">
        <v>96</v>
      </c>
      <c r="AC230" s="46">
        <f t="shared" si="1184"/>
        <v>0.60377358490566035</v>
      </c>
      <c r="AD230" s="5">
        <v>123</v>
      </c>
      <c r="AE230" s="5">
        <v>186413.78999999992</v>
      </c>
      <c r="AF230" s="5">
        <f t="shared" si="1185"/>
        <v>1941.8103124999991</v>
      </c>
      <c r="AG230" s="5">
        <v>0</v>
      </c>
      <c r="AH230" s="49">
        <f t="shared" si="1186"/>
        <v>0</v>
      </c>
      <c r="AI230" s="5">
        <v>0</v>
      </c>
      <c r="AJ230" s="5">
        <v>13</v>
      </c>
      <c r="AK230" s="4">
        <v>25</v>
      </c>
      <c r="AL230" s="7">
        <v>24</v>
      </c>
      <c r="AM230" s="4">
        <v>0</v>
      </c>
      <c r="AN230" s="4">
        <v>1</v>
      </c>
      <c r="AO230" s="11">
        <f t="shared" si="1187"/>
        <v>92</v>
      </c>
      <c r="AP230" s="50">
        <f t="shared" si="1188"/>
        <v>0.15723270440251572</v>
      </c>
      <c r="AQ230" s="7">
        <v>159</v>
      </c>
      <c r="AR230" s="50">
        <f t="shared" si="1189"/>
        <v>1</v>
      </c>
      <c r="AS230" s="4"/>
    </row>
    <row r="231" spans="1:45" ht="18" customHeight="1" x14ac:dyDescent="0.3">
      <c r="A231" s="4" t="s">
        <v>40</v>
      </c>
      <c r="B231" s="4" t="s">
        <v>76</v>
      </c>
      <c r="C231" s="4" t="s">
        <v>47</v>
      </c>
      <c r="D231" s="4" t="s">
        <v>169</v>
      </c>
      <c r="E231" s="4" t="s">
        <v>77</v>
      </c>
      <c r="F231" s="7" t="s">
        <v>48</v>
      </c>
      <c r="G231" s="4"/>
      <c r="H231" s="5">
        <v>101</v>
      </c>
      <c r="I231" s="5">
        <v>84</v>
      </c>
      <c r="J231" s="6">
        <f t="shared" si="1176"/>
        <v>0.83168316831683164</v>
      </c>
      <c r="K231" s="5">
        <v>33</v>
      </c>
      <c r="L231" s="5">
        <v>21</v>
      </c>
      <c r="M231" s="5">
        <v>10</v>
      </c>
      <c r="N231" s="9">
        <v>1</v>
      </c>
      <c r="O231" s="46">
        <f t="shared" si="1177"/>
        <v>1.1904761904761904E-2</v>
      </c>
      <c r="P231" s="5">
        <v>2</v>
      </c>
      <c r="Q231" s="46">
        <f t="shared" ref="Q231" si="1400">IFERROR(P231/$I231,"")</f>
        <v>2.3809523809523808E-2</v>
      </c>
      <c r="R231" s="5">
        <v>42</v>
      </c>
      <c r="S231" s="46">
        <f t="shared" ref="S231" si="1401">IFERROR(R231/$I231,"")</f>
        <v>0.5</v>
      </c>
      <c r="T231" s="5">
        <v>0</v>
      </c>
      <c r="U231" s="46">
        <f t="shared" ref="U231" si="1402">IFERROR(T231/$I231,"")</f>
        <v>0</v>
      </c>
      <c r="V231" s="5">
        <v>12</v>
      </c>
      <c r="W231" s="46">
        <f t="shared" ref="W231" si="1403">IFERROR(V231/$I231,"")</f>
        <v>0.14285714285714285</v>
      </c>
      <c r="X231" s="5">
        <v>11</v>
      </c>
      <c r="Y231" s="46">
        <f t="shared" ref="Y231" si="1404">IFERROR(X231/$I231,"")</f>
        <v>0.13095238095238096</v>
      </c>
      <c r="Z231" s="5">
        <v>23</v>
      </c>
      <c r="AA231" s="46">
        <f t="shared" ref="AA231" si="1405">IFERROR(Z231/$I231,"")</f>
        <v>0.27380952380952384</v>
      </c>
      <c r="AB231" s="5">
        <v>45</v>
      </c>
      <c r="AC231" s="46">
        <f t="shared" si="1184"/>
        <v>0.44554455445544555</v>
      </c>
      <c r="AD231" s="5">
        <v>45</v>
      </c>
      <c r="AE231" s="5">
        <v>51953.240000000013</v>
      </c>
      <c r="AF231" s="5">
        <f t="shared" si="1185"/>
        <v>1154.5164444444447</v>
      </c>
      <c r="AG231" s="5">
        <v>0</v>
      </c>
      <c r="AH231" s="49">
        <f t="shared" si="1186"/>
        <v>0</v>
      </c>
      <c r="AI231" s="5">
        <v>0</v>
      </c>
      <c r="AJ231" s="5">
        <v>0</v>
      </c>
      <c r="AK231" s="4">
        <v>13</v>
      </c>
      <c r="AL231" s="7">
        <v>10</v>
      </c>
      <c r="AM231" s="4">
        <v>2</v>
      </c>
      <c r="AN231" s="4">
        <v>1</v>
      </c>
      <c r="AO231" s="11">
        <f t="shared" si="1187"/>
        <v>69.230769230769226</v>
      </c>
      <c r="AP231" s="50">
        <f t="shared" si="1188"/>
        <v>0.12871287128712872</v>
      </c>
      <c r="AQ231" s="7">
        <v>101</v>
      </c>
      <c r="AR231" s="50">
        <f t="shared" si="1189"/>
        <v>1</v>
      </c>
      <c r="AS231" s="4"/>
    </row>
    <row r="232" spans="1:45" ht="18" customHeight="1" x14ac:dyDescent="0.3">
      <c r="A232" s="4" t="s">
        <v>40</v>
      </c>
      <c r="B232" s="4" t="s">
        <v>78</v>
      </c>
      <c r="C232" s="4" t="s">
        <v>47</v>
      </c>
      <c r="D232" s="4" t="s">
        <v>79</v>
      </c>
      <c r="E232" s="4" t="s">
        <v>80</v>
      </c>
      <c r="F232" s="7" t="s">
        <v>48</v>
      </c>
      <c r="G232" s="4" t="s">
        <v>81</v>
      </c>
      <c r="H232" s="5">
        <v>131</v>
      </c>
      <c r="I232" s="5">
        <v>95</v>
      </c>
      <c r="J232" s="6">
        <f t="shared" si="1176"/>
        <v>0.72519083969465647</v>
      </c>
      <c r="K232" s="5">
        <v>31</v>
      </c>
      <c r="L232" s="5">
        <v>14</v>
      </c>
      <c r="M232" s="5">
        <v>11</v>
      </c>
      <c r="N232" s="9">
        <v>9</v>
      </c>
      <c r="O232" s="46">
        <f t="shared" si="1177"/>
        <v>9.4736842105263161E-2</v>
      </c>
      <c r="P232" s="5">
        <v>6</v>
      </c>
      <c r="Q232" s="46">
        <f t="shared" ref="Q232" si="1406">IFERROR(P232/$I232,"")</f>
        <v>6.3157894736842107E-2</v>
      </c>
      <c r="R232" s="5">
        <v>47</v>
      </c>
      <c r="S232" s="46">
        <f t="shared" ref="S232" si="1407">IFERROR(R232/$I232,"")</f>
        <v>0.49473684210526314</v>
      </c>
      <c r="T232" s="5">
        <v>0</v>
      </c>
      <c r="U232" s="46">
        <f t="shared" ref="U232" si="1408">IFERROR(T232/$I232,"")</f>
        <v>0</v>
      </c>
      <c r="V232" s="5">
        <v>9</v>
      </c>
      <c r="W232" s="46">
        <f t="shared" ref="W232" si="1409">IFERROR(V232/$I232,"")</f>
        <v>9.4736842105263161E-2</v>
      </c>
      <c r="X232" s="5">
        <v>11</v>
      </c>
      <c r="Y232" s="46">
        <f t="shared" ref="Y232" si="1410">IFERROR(X232/$I232,"")</f>
        <v>0.11578947368421053</v>
      </c>
      <c r="Z232" s="5">
        <v>5</v>
      </c>
      <c r="AA232" s="46">
        <f t="shared" ref="AA232" si="1411">IFERROR(Z232/$I232,"")</f>
        <v>5.2631578947368418E-2</v>
      </c>
      <c r="AB232" s="5">
        <v>29</v>
      </c>
      <c r="AC232" s="46">
        <f t="shared" si="1184"/>
        <v>0.22137404580152673</v>
      </c>
      <c r="AD232" s="5">
        <v>45</v>
      </c>
      <c r="AE232" s="5">
        <v>50275.35</v>
      </c>
      <c r="AF232" s="5">
        <f t="shared" si="1185"/>
        <v>1733.6327586206896</v>
      </c>
      <c r="AG232" s="5">
        <v>900</v>
      </c>
      <c r="AH232" s="49">
        <f t="shared" si="1186"/>
        <v>9.473684210526315</v>
      </c>
      <c r="AI232" s="5">
        <v>0</v>
      </c>
      <c r="AJ232" s="5">
        <v>5</v>
      </c>
      <c r="AK232" s="4">
        <v>17</v>
      </c>
      <c r="AL232" s="7">
        <v>14</v>
      </c>
      <c r="AM232" s="4">
        <v>3</v>
      </c>
      <c r="AN232" s="4">
        <v>0</v>
      </c>
      <c r="AO232" s="11">
        <f t="shared" si="1187"/>
        <v>82.35294117647058</v>
      </c>
      <c r="AP232" s="50">
        <f t="shared" si="1188"/>
        <v>0.12977099236641221</v>
      </c>
      <c r="AQ232" s="7">
        <v>131</v>
      </c>
      <c r="AR232" s="50">
        <f t="shared" si="1189"/>
        <v>1</v>
      </c>
      <c r="AS232" s="4"/>
    </row>
    <row r="233" spans="1:45" ht="18" customHeight="1" x14ac:dyDescent="0.3">
      <c r="A233" s="4" t="s">
        <v>40</v>
      </c>
      <c r="B233" s="4" t="s">
        <v>82</v>
      </c>
      <c r="C233" s="4" t="s">
        <v>83</v>
      </c>
      <c r="D233" s="4" t="s">
        <v>86</v>
      </c>
      <c r="E233" s="4" t="s">
        <v>87</v>
      </c>
      <c r="F233" s="7" t="s">
        <v>48</v>
      </c>
      <c r="G233" s="4" t="s">
        <v>81</v>
      </c>
      <c r="H233" s="5">
        <v>267</v>
      </c>
      <c r="I233" s="5">
        <v>104</v>
      </c>
      <c r="J233" s="6">
        <f t="shared" si="1176"/>
        <v>0.38951310861423222</v>
      </c>
      <c r="K233" s="5">
        <v>40</v>
      </c>
      <c r="L233" s="5">
        <v>23</v>
      </c>
      <c r="M233" s="5">
        <v>7</v>
      </c>
      <c r="N233" s="9">
        <v>5</v>
      </c>
      <c r="O233" s="46">
        <f t="shared" si="1177"/>
        <v>4.807692307692308E-2</v>
      </c>
      <c r="P233" s="5">
        <v>3</v>
      </c>
      <c r="Q233" s="46">
        <f t="shared" ref="Q233" si="1412">IFERROR(P233/$I233,"")</f>
        <v>2.8846153846153848E-2</v>
      </c>
      <c r="R233" s="5">
        <v>46</v>
      </c>
      <c r="S233" s="46">
        <f t="shared" ref="S233" si="1413">IFERROR(R233/$I233,"")</f>
        <v>0.44230769230769229</v>
      </c>
      <c r="T233" s="5">
        <v>0</v>
      </c>
      <c r="U233" s="46">
        <f t="shared" ref="U233" si="1414">IFERROR(T233/$I233,"")</f>
        <v>0</v>
      </c>
      <c r="V233" s="5">
        <v>10</v>
      </c>
      <c r="W233" s="46">
        <f t="shared" ref="W233" si="1415">IFERROR(V233/$I233,"")</f>
        <v>9.6153846153846159E-2</v>
      </c>
      <c r="X233" s="5">
        <v>19</v>
      </c>
      <c r="Y233" s="46">
        <f t="shared" ref="Y233" si="1416">IFERROR(X233/$I233,"")</f>
        <v>0.18269230769230768</v>
      </c>
      <c r="Z233" s="5">
        <v>14</v>
      </c>
      <c r="AA233" s="46">
        <f t="shared" ref="AA233" si="1417">IFERROR(Z233/$I233,"")</f>
        <v>0.13461538461538461</v>
      </c>
      <c r="AB233" s="5">
        <v>28</v>
      </c>
      <c r="AC233" s="46">
        <f t="shared" si="1184"/>
        <v>0.10486891385767791</v>
      </c>
      <c r="AD233" s="5">
        <v>42</v>
      </c>
      <c r="AE233" s="5">
        <v>50436.620000000017</v>
      </c>
      <c r="AF233" s="5">
        <f t="shared" si="1185"/>
        <v>1801.3078571428578</v>
      </c>
      <c r="AG233" s="5">
        <v>0</v>
      </c>
      <c r="AH233" s="49">
        <f t="shared" si="1186"/>
        <v>0</v>
      </c>
      <c r="AI233" s="5">
        <v>650</v>
      </c>
      <c r="AJ233" s="5">
        <v>9</v>
      </c>
      <c r="AK233" s="4">
        <v>30</v>
      </c>
      <c r="AL233" s="7">
        <v>27</v>
      </c>
      <c r="AM233" s="4">
        <v>0</v>
      </c>
      <c r="AN233" s="4">
        <v>3</v>
      </c>
      <c r="AO233" s="11">
        <f t="shared" si="1187"/>
        <v>80</v>
      </c>
      <c r="AP233" s="50">
        <f t="shared" si="1188"/>
        <v>0.11235955056179775</v>
      </c>
      <c r="AQ233" s="7">
        <v>267</v>
      </c>
      <c r="AR233" s="50">
        <f t="shared" si="1189"/>
        <v>1</v>
      </c>
      <c r="AS233" s="4"/>
    </row>
    <row r="234" spans="1:45" ht="18" customHeight="1" x14ac:dyDescent="0.3">
      <c r="A234" s="4" t="s">
        <v>40</v>
      </c>
      <c r="B234" s="4" t="s">
        <v>82</v>
      </c>
      <c r="C234" s="4" t="s">
        <v>83</v>
      </c>
      <c r="D234" s="4" t="s">
        <v>170</v>
      </c>
      <c r="E234" s="4" t="s">
        <v>155</v>
      </c>
      <c r="F234" s="7" t="s">
        <v>48</v>
      </c>
      <c r="G234" s="4" t="s">
        <v>65</v>
      </c>
      <c r="H234" s="5">
        <v>139</v>
      </c>
      <c r="I234" s="5">
        <v>50</v>
      </c>
      <c r="J234" s="6">
        <f t="shared" si="1176"/>
        <v>0.35971223021582732</v>
      </c>
      <c r="K234" s="5">
        <v>18</v>
      </c>
      <c r="L234" s="5">
        <v>8</v>
      </c>
      <c r="M234" s="5">
        <v>5</v>
      </c>
      <c r="N234" s="9">
        <v>7</v>
      </c>
      <c r="O234" s="46">
        <f t="shared" si="1177"/>
        <v>0.14000000000000001</v>
      </c>
      <c r="P234" s="5">
        <v>2</v>
      </c>
      <c r="Q234" s="46">
        <f t="shared" ref="Q234" si="1418">IFERROR(P234/$I234,"")</f>
        <v>0.04</v>
      </c>
      <c r="R234" s="5">
        <v>27</v>
      </c>
      <c r="S234" s="46">
        <f t="shared" ref="S234" si="1419">IFERROR(R234/$I234,"")</f>
        <v>0.54</v>
      </c>
      <c r="T234" s="5">
        <v>0</v>
      </c>
      <c r="U234" s="46">
        <f t="shared" ref="U234" si="1420">IFERROR(T234/$I234,"")</f>
        <v>0</v>
      </c>
      <c r="V234" s="5">
        <v>5</v>
      </c>
      <c r="W234" s="46">
        <f t="shared" ref="W234" si="1421">IFERROR(V234/$I234,"")</f>
        <v>0.1</v>
      </c>
      <c r="X234" s="5">
        <v>5</v>
      </c>
      <c r="Y234" s="46">
        <f t="shared" ref="Y234" si="1422">IFERROR(X234/$I234,"")</f>
        <v>0.1</v>
      </c>
      <c r="Z234" s="5">
        <v>6</v>
      </c>
      <c r="AA234" s="46">
        <f t="shared" ref="AA234" si="1423">IFERROR(Z234/$I234,"")</f>
        <v>0.12</v>
      </c>
      <c r="AB234" s="5">
        <v>14</v>
      </c>
      <c r="AC234" s="46">
        <f t="shared" si="1184"/>
        <v>0.10071942446043165</v>
      </c>
      <c r="AD234" s="5">
        <v>20</v>
      </c>
      <c r="AE234" s="5">
        <v>25876.419999999995</v>
      </c>
      <c r="AF234" s="5">
        <f t="shared" si="1185"/>
        <v>1848.315714285714</v>
      </c>
      <c r="AG234" s="5">
        <v>0</v>
      </c>
      <c r="AH234" s="49">
        <f t="shared" si="1186"/>
        <v>0</v>
      </c>
      <c r="AI234" s="5">
        <v>0</v>
      </c>
      <c r="AJ234" s="5">
        <v>1</v>
      </c>
      <c r="AK234" s="4">
        <v>14</v>
      </c>
      <c r="AL234" s="7">
        <v>12</v>
      </c>
      <c r="AM234" s="4">
        <v>0</v>
      </c>
      <c r="AN234" s="4">
        <v>2</v>
      </c>
      <c r="AO234" s="11">
        <f t="shared" si="1187"/>
        <v>71.428571428571431</v>
      </c>
      <c r="AP234" s="50">
        <f t="shared" si="1188"/>
        <v>0.10071942446043165</v>
      </c>
      <c r="AQ234" s="7">
        <v>139</v>
      </c>
      <c r="AR234" s="50">
        <f t="shared" si="1189"/>
        <v>1</v>
      </c>
      <c r="AS234" s="4"/>
    </row>
    <row r="235" spans="1:45" ht="18" customHeight="1" x14ac:dyDescent="0.3">
      <c r="A235" s="4" t="s">
        <v>40</v>
      </c>
      <c r="B235" s="4" t="s">
        <v>89</v>
      </c>
      <c r="C235" s="4" t="s">
        <v>83</v>
      </c>
      <c r="D235" s="4" t="s">
        <v>92</v>
      </c>
      <c r="E235" s="4" t="s">
        <v>93</v>
      </c>
      <c r="F235" s="7" t="s">
        <v>48</v>
      </c>
      <c r="G235" s="4" t="s">
        <v>57</v>
      </c>
      <c r="H235" s="5">
        <v>183</v>
      </c>
      <c r="I235" s="5">
        <v>136</v>
      </c>
      <c r="J235" s="6">
        <f t="shared" si="1176"/>
        <v>0.74316939890710387</v>
      </c>
      <c r="K235" s="5">
        <v>64</v>
      </c>
      <c r="L235" s="5">
        <v>34</v>
      </c>
      <c r="M235" s="5">
        <v>15</v>
      </c>
      <c r="N235" s="9">
        <v>12</v>
      </c>
      <c r="O235" s="46">
        <f t="shared" si="1177"/>
        <v>8.8235294117647065E-2</v>
      </c>
      <c r="P235" s="5">
        <v>11</v>
      </c>
      <c r="Q235" s="46">
        <f t="shared" ref="Q235" si="1424">IFERROR(P235/$I235,"")</f>
        <v>8.0882352941176475E-2</v>
      </c>
      <c r="R235" s="5">
        <v>90</v>
      </c>
      <c r="S235" s="46">
        <f t="shared" ref="S235" si="1425">IFERROR(R235/$I235,"")</f>
        <v>0.66176470588235292</v>
      </c>
      <c r="T235" s="5">
        <v>3</v>
      </c>
      <c r="U235" s="46">
        <f t="shared" ref="U235" si="1426">IFERROR(T235/$I235,"")</f>
        <v>2.2058823529411766E-2</v>
      </c>
      <c r="V235" s="5">
        <v>23</v>
      </c>
      <c r="W235" s="46">
        <f t="shared" ref="W235" si="1427">IFERROR(V235/$I235,"")</f>
        <v>0.16911764705882354</v>
      </c>
      <c r="X235" s="5">
        <v>23</v>
      </c>
      <c r="Y235" s="46">
        <f t="shared" ref="Y235" si="1428">IFERROR(X235/$I235,"")</f>
        <v>0.16911764705882354</v>
      </c>
      <c r="Z235" s="5">
        <v>11</v>
      </c>
      <c r="AA235" s="46">
        <f t="shared" ref="AA235" si="1429">IFERROR(Z235/$I235,"")</f>
        <v>8.0882352941176475E-2</v>
      </c>
      <c r="AB235" s="5">
        <v>114</v>
      </c>
      <c r="AC235" s="46">
        <f t="shared" si="1184"/>
        <v>0.62295081967213117</v>
      </c>
      <c r="AD235" s="5">
        <v>127</v>
      </c>
      <c r="AE235" s="5">
        <v>168778.52000000005</v>
      </c>
      <c r="AF235" s="5">
        <f t="shared" si="1185"/>
        <v>1480.5133333333338</v>
      </c>
      <c r="AG235" s="5">
        <v>400</v>
      </c>
      <c r="AH235" s="49">
        <f t="shared" si="1186"/>
        <v>2.9411764705882355</v>
      </c>
      <c r="AI235" s="5">
        <v>328269</v>
      </c>
      <c r="AJ235" s="5">
        <v>23</v>
      </c>
      <c r="AK235" s="4">
        <v>47</v>
      </c>
      <c r="AL235" s="7">
        <v>47</v>
      </c>
      <c r="AM235" s="4">
        <v>0</v>
      </c>
      <c r="AN235" s="4">
        <v>0</v>
      </c>
      <c r="AO235" s="11">
        <f t="shared" si="1187"/>
        <v>100</v>
      </c>
      <c r="AP235" s="50">
        <f t="shared" si="1188"/>
        <v>0.25683060109289618</v>
      </c>
      <c r="AQ235" s="7">
        <v>183</v>
      </c>
      <c r="AR235" s="50">
        <f t="shared" si="1189"/>
        <v>1</v>
      </c>
      <c r="AS235" s="4"/>
    </row>
    <row r="236" spans="1:45" ht="18" customHeight="1" x14ac:dyDescent="0.3">
      <c r="A236" s="4" t="s">
        <v>40</v>
      </c>
      <c r="B236" s="4" t="s">
        <v>89</v>
      </c>
      <c r="C236" s="4" t="s">
        <v>83</v>
      </c>
      <c r="D236" s="4" t="s">
        <v>94</v>
      </c>
      <c r="E236" s="4" t="s">
        <v>95</v>
      </c>
      <c r="F236" s="7" t="s">
        <v>48</v>
      </c>
      <c r="G236" s="4" t="s">
        <v>81</v>
      </c>
      <c r="H236" s="5">
        <v>153</v>
      </c>
      <c r="I236" s="5">
        <v>116</v>
      </c>
      <c r="J236" s="6">
        <f t="shared" si="1176"/>
        <v>0.75816993464052285</v>
      </c>
      <c r="K236" s="5">
        <v>51</v>
      </c>
      <c r="L236" s="5">
        <v>28</v>
      </c>
      <c r="M236" s="5">
        <v>15</v>
      </c>
      <c r="N236" s="9">
        <v>21</v>
      </c>
      <c r="O236" s="46">
        <f t="shared" si="1177"/>
        <v>0.18103448275862069</v>
      </c>
      <c r="P236" s="5">
        <v>3</v>
      </c>
      <c r="Q236" s="46">
        <f t="shared" ref="Q236" si="1430">IFERROR(P236/$I236,"")</f>
        <v>2.5862068965517241E-2</v>
      </c>
      <c r="R236" s="5">
        <v>59</v>
      </c>
      <c r="S236" s="46">
        <f t="shared" ref="S236" si="1431">IFERROR(R236/$I236,"")</f>
        <v>0.50862068965517238</v>
      </c>
      <c r="T236" s="5">
        <v>0</v>
      </c>
      <c r="U236" s="46">
        <f t="shared" ref="U236" si="1432">IFERROR(T236/$I236,"")</f>
        <v>0</v>
      </c>
      <c r="V236" s="5">
        <v>23</v>
      </c>
      <c r="W236" s="46">
        <f t="shared" ref="W236" si="1433">IFERROR(V236/$I236,"")</f>
        <v>0.19827586206896552</v>
      </c>
      <c r="X236" s="5">
        <v>19</v>
      </c>
      <c r="Y236" s="46">
        <f t="shared" ref="Y236" si="1434">IFERROR(X236/$I236,"")</f>
        <v>0.16379310344827586</v>
      </c>
      <c r="Z236" s="5">
        <v>11</v>
      </c>
      <c r="AA236" s="46">
        <f t="shared" ref="AA236" si="1435">IFERROR(Z236/$I236,"")</f>
        <v>9.4827586206896547E-2</v>
      </c>
      <c r="AB236" s="5">
        <v>92</v>
      </c>
      <c r="AC236" s="46">
        <f t="shared" si="1184"/>
        <v>0.60130718954248363</v>
      </c>
      <c r="AD236" s="5">
        <v>121</v>
      </c>
      <c r="AE236" s="5">
        <v>106527.25999999994</v>
      </c>
      <c r="AF236" s="5">
        <f t="shared" si="1185"/>
        <v>1157.9049999999993</v>
      </c>
      <c r="AG236" s="5">
        <v>450</v>
      </c>
      <c r="AH236" s="49">
        <f t="shared" si="1186"/>
        <v>3.8793103448275863</v>
      </c>
      <c r="AI236" s="5">
        <v>391</v>
      </c>
      <c r="AJ236" s="5">
        <v>27</v>
      </c>
      <c r="AK236" s="4">
        <v>33</v>
      </c>
      <c r="AL236" s="7">
        <v>29</v>
      </c>
      <c r="AM236" s="4">
        <v>1</v>
      </c>
      <c r="AN236" s="4">
        <v>3</v>
      </c>
      <c r="AO236" s="11">
        <f t="shared" si="1187"/>
        <v>78.787878787878782</v>
      </c>
      <c r="AP236" s="50">
        <f t="shared" si="1188"/>
        <v>0.21568627450980393</v>
      </c>
      <c r="AQ236" s="7">
        <v>153</v>
      </c>
      <c r="AR236" s="50">
        <f t="shared" si="1189"/>
        <v>1</v>
      </c>
      <c r="AS236" s="4"/>
    </row>
    <row r="237" spans="1:45" ht="18" customHeight="1" x14ac:dyDescent="0.3">
      <c r="A237" s="4" t="s">
        <v>40</v>
      </c>
      <c r="B237" s="4" t="s">
        <v>89</v>
      </c>
      <c r="C237" s="4" t="s">
        <v>83</v>
      </c>
      <c r="D237" s="4" t="s">
        <v>96</v>
      </c>
      <c r="E237" s="4" t="s">
        <v>97</v>
      </c>
      <c r="F237" s="7" t="s">
        <v>48</v>
      </c>
      <c r="G237" s="4" t="s">
        <v>65</v>
      </c>
      <c r="H237" s="5">
        <v>205</v>
      </c>
      <c r="I237" s="5">
        <v>147</v>
      </c>
      <c r="J237" s="6">
        <f t="shared" si="1176"/>
        <v>0.71707317073170729</v>
      </c>
      <c r="K237" s="5">
        <v>77</v>
      </c>
      <c r="L237" s="5">
        <v>40</v>
      </c>
      <c r="M237" s="5">
        <v>23</v>
      </c>
      <c r="N237" s="9">
        <v>51</v>
      </c>
      <c r="O237" s="46">
        <f t="shared" si="1177"/>
        <v>0.34693877551020408</v>
      </c>
      <c r="P237" s="5">
        <v>16</v>
      </c>
      <c r="Q237" s="46">
        <f t="shared" ref="Q237" si="1436">IFERROR(P237/$I237,"")</f>
        <v>0.10884353741496598</v>
      </c>
      <c r="R237" s="5">
        <v>81</v>
      </c>
      <c r="S237" s="46">
        <f t="shared" ref="S237" si="1437">IFERROR(R237/$I237,"")</f>
        <v>0.55102040816326525</v>
      </c>
      <c r="T237" s="5">
        <v>0</v>
      </c>
      <c r="U237" s="46">
        <f t="shared" ref="U237" si="1438">IFERROR(T237/$I237,"")</f>
        <v>0</v>
      </c>
      <c r="V237" s="5">
        <v>22</v>
      </c>
      <c r="W237" s="46">
        <f t="shared" ref="W237" si="1439">IFERROR(V237/$I237,"")</f>
        <v>0.14965986394557823</v>
      </c>
      <c r="X237" s="5">
        <v>22</v>
      </c>
      <c r="Y237" s="46">
        <f t="shared" ref="Y237" si="1440">IFERROR(X237/$I237,"")</f>
        <v>0.14965986394557823</v>
      </c>
      <c r="Z237" s="5">
        <v>20</v>
      </c>
      <c r="AA237" s="46">
        <f t="shared" ref="AA237" si="1441">IFERROR(Z237/$I237,"")</f>
        <v>0.1360544217687075</v>
      </c>
      <c r="AB237" s="5">
        <v>115</v>
      </c>
      <c r="AC237" s="46">
        <f t="shared" si="1184"/>
        <v>0.56097560975609762</v>
      </c>
      <c r="AD237" s="5">
        <v>131</v>
      </c>
      <c r="AE237" s="5">
        <v>244941.26000000015</v>
      </c>
      <c r="AF237" s="5">
        <f t="shared" si="1185"/>
        <v>2129.9240000000013</v>
      </c>
      <c r="AG237" s="5">
        <v>717.79</v>
      </c>
      <c r="AH237" s="49">
        <f t="shared" si="1186"/>
        <v>4.8829251700680274</v>
      </c>
      <c r="AI237" s="5">
        <v>3068</v>
      </c>
      <c r="AJ237" s="5">
        <v>30</v>
      </c>
      <c r="AK237" s="4">
        <v>54</v>
      </c>
      <c r="AL237" s="7">
        <v>52</v>
      </c>
      <c r="AM237" s="4">
        <v>2</v>
      </c>
      <c r="AN237" s="4">
        <v>0</v>
      </c>
      <c r="AO237" s="11">
        <f t="shared" si="1187"/>
        <v>96.296296296296291</v>
      </c>
      <c r="AP237" s="50">
        <f t="shared" si="1188"/>
        <v>0.26341463414634148</v>
      </c>
      <c r="AQ237" s="7">
        <v>205</v>
      </c>
      <c r="AR237" s="50">
        <f t="shared" si="1189"/>
        <v>1</v>
      </c>
      <c r="AS237" s="4"/>
    </row>
    <row r="238" spans="1:45" ht="18" customHeight="1" x14ac:dyDescent="0.3">
      <c r="A238" s="4" t="s">
        <v>40</v>
      </c>
      <c r="B238" s="4" t="s">
        <v>98</v>
      </c>
      <c r="C238" s="4" t="s">
        <v>47</v>
      </c>
      <c r="D238" s="4" t="s">
        <v>99</v>
      </c>
      <c r="E238" s="4" t="s">
        <v>100</v>
      </c>
      <c r="F238" s="7" t="s">
        <v>48</v>
      </c>
      <c r="G238" s="4" t="s">
        <v>65</v>
      </c>
      <c r="H238" s="5">
        <v>203</v>
      </c>
      <c r="I238" s="5">
        <v>169</v>
      </c>
      <c r="J238" s="6">
        <f t="shared" si="1176"/>
        <v>0.83251231527093594</v>
      </c>
      <c r="K238" s="5">
        <v>121</v>
      </c>
      <c r="L238" s="5">
        <v>70</v>
      </c>
      <c r="M238" s="5">
        <v>46</v>
      </c>
      <c r="N238" s="9">
        <v>21</v>
      </c>
      <c r="O238" s="46">
        <f t="shared" si="1177"/>
        <v>0.1242603550295858</v>
      </c>
      <c r="P238" s="5">
        <v>14</v>
      </c>
      <c r="Q238" s="46">
        <f t="shared" ref="Q238" si="1442">IFERROR(P238/$I238,"")</f>
        <v>8.2840236686390539E-2</v>
      </c>
      <c r="R238" s="5">
        <v>84</v>
      </c>
      <c r="S238" s="46">
        <f t="shared" ref="S238" si="1443">IFERROR(R238/$I238,"")</f>
        <v>0.49704142011834318</v>
      </c>
      <c r="T238" s="5">
        <v>12</v>
      </c>
      <c r="U238" s="46">
        <f t="shared" ref="U238" si="1444">IFERROR(T238/$I238,"")</f>
        <v>7.1005917159763315E-2</v>
      </c>
      <c r="V238" s="5">
        <v>49</v>
      </c>
      <c r="W238" s="46">
        <f t="shared" ref="W238" si="1445">IFERROR(V238/$I238,"")</f>
        <v>0.28994082840236685</v>
      </c>
      <c r="X238" s="5">
        <v>38</v>
      </c>
      <c r="Y238" s="46">
        <f t="shared" ref="Y238" si="1446">IFERROR(X238/$I238,"")</f>
        <v>0.22485207100591717</v>
      </c>
      <c r="Z238" s="5">
        <v>39</v>
      </c>
      <c r="AA238" s="46">
        <f t="shared" ref="AA238" si="1447">IFERROR(Z238/$I238,"")</f>
        <v>0.23076923076923078</v>
      </c>
      <c r="AB238" s="5">
        <v>128</v>
      </c>
      <c r="AC238" s="46">
        <f t="shared" si="1184"/>
        <v>0.63054187192118227</v>
      </c>
      <c r="AD238" s="5">
        <v>188</v>
      </c>
      <c r="AE238" s="5">
        <v>291305.59999999974</v>
      </c>
      <c r="AF238" s="5">
        <f t="shared" si="1185"/>
        <v>2275.824999999998</v>
      </c>
      <c r="AG238" s="5">
        <v>1919.74</v>
      </c>
      <c r="AH238" s="49">
        <f t="shared" si="1186"/>
        <v>11.359408284023669</v>
      </c>
      <c r="AI238" s="5">
        <v>15847</v>
      </c>
      <c r="AJ238" s="5">
        <v>15</v>
      </c>
      <c r="AK238" s="4">
        <v>46</v>
      </c>
      <c r="AL238" s="7">
        <v>44</v>
      </c>
      <c r="AM238" s="4">
        <v>0</v>
      </c>
      <c r="AN238" s="4">
        <v>2</v>
      </c>
      <c r="AO238" s="11">
        <f t="shared" si="1187"/>
        <v>91.304347826086953</v>
      </c>
      <c r="AP238" s="50">
        <f t="shared" si="1188"/>
        <v>0.22660098522167488</v>
      </c>
      <c r="AQ238" s="7">
        <v>203</v>
      </c>
      <c r="AR238" s="50">
        <f t="shared" si="1189"/>
        <v>1</v>
      </c>
      <c r="AS238" s="4"/>
    </row>
    <row r="239" spans="1:45" ht="18" customHeight="1" x14ac:dyDescent="0.3">
      <c r="A239" s="4" t="s">
        <v>40</v>
      </c>
      <c r="B239" s="4" t="s">
        <v>98</v>
      </c>
      <c r="C239" s="4" t="s">
        <v>47</v>
      </c>
      <c r="D239" s="4" t="s">
        <v>103</v>
      </c>
      <c r="E239" s="4" t="s">
        <v>104</v>
      </c>
      <c r="F239" s="7" t="s">
        <v>48</v>
      </c>
      <c r="G239" s="4" t="s">
        <v>65</v>
      </c>
      <c r="H239" s="5">
        <v>188</v>
      </c>
      <c r="I239" s="5">
        <v>158</v>
      </c>
      <c r="J239" s="6">
        <f t="shared" si="1176"/>
        <v>0.84042553191489366</v>
      </c>
      <c r="K239" s="5">
        <v>106</v>
      </c>
      <c r="L239" s="5">
        <v>64</v>
      </c>
      <c r="M239" s="5">
        <v>37</v>
      </c>
      <c r="N239" s="9">
        <v>10</v>
      </c>
      <c r="O239" s="46">
        <f t="shared" si="1177"/>
        <v>6.3291139240506333E-2</v>
      </c>
      <c r="P239" s="5">
        <v>7</v>
      </c>
      <c r="Q239" s="46">
        <f t="shared" ref="Q239" si="1448">IFERROR(P239/$I239,"")</f>
        <v>4.4303797468354431E-2</v>
      </c>
      <c r="R239" s="5">
        <v>59</v>
      </c>
      <c r="S239" s="46">
        <f t="shared" ref="S239" si="1449">IFERROR(R239/$I239,"")</f>
        <v>0.37341772151898733</v>
      </c>
      <c r="T239" s="5">
        <v>1</v>
      </c>
      <c r="U239" s="46">
        <f t="shared" ref="U239" si="1450">IFERROR(T239/$I239,"")</f>
        <v>6.3291139240506328E-3</v>
      </c>
      <c r="V239" s="5">
        <v>18</v>
      </c>
      <c r="W239" s="46">
        <f t="shared" ref="W239" si="1451">IFERROR(V239/$I239,"")</f>
        <v>0.11392405063291139</v>
      </c>
      <c r="X239" s="5">
        <v>23</v>
      </c>
      <c r="Y239" s="46">
        <f t="shared" ref="Y239" si="1452">IFERROR(X239/$I239,"")</f>
        <v>0.14556962025316456</v>
      </c>
      <c r="Z239" s="5">
        <v>13</v>
      </c>
      <c r="AA239" s="46">
        <f t="shared" ref="AA239" si="1453">IFERROR(Z239/$I239,"")</f>
        <v>8.2278481012658222E-2</v>
      </c>
      <c r="AB239" s="5">
        <v>111</v>
      </c>
      <c r="AC239" s="46">
        <f t="shared" si="1184"/>
        <v>0.59042553191489366</v>
      </c>
      <c r="AD239" s="5">
        <v>182</v>
      </c>
      <c r="AE239" s="5">
        <v>237947.57999999955</v>
      </c>
      <c r="AF239" s="5">
        <f t="shared" si="1185"/>
        <v>2143.6718918918878</v>
      </c>
      <c r="AG239" s="5">
        <v>209.5</v>
      </c>
      <c r="AH239" s="49">
        <f t="shared" si="1186"/>
        <v>1.3259493670886076</v>
      </c>
      <c r="AI239" s="5">
        <v>14875</v>
      </c>
      <c r="AJ239" s="5">
        <v>20</v>
      </c>
      <c r="AK239" s="4">
        <v>20</v>
      </c>
      <c r="AL239" s="7">
        <v>19</v>
      </c>
      <c r="AM239" s="4">
        <v>1</v>
      </c>
      <c r="AN239" s="4">
        <v>0</v>
      </c>
      <c r="AO239" s="11">
        <f t="shared" si="1187"/>
        <v>95</v>
      </c>
      <c r="AP239" s="50">
        <f t="shared" si="1188"/>
        <v>0.10638297872340426</v>
      </c>
      <c r="AQ239" s="7">
        <v>188</v>
      </c>
      <c r="AR239" s="50">
        <f t="shared" si="1189"/>
        <v>1</v>
      </c>
      <c r="AS239" s="4"/>
    </row>
    <row r="240" spans="1:45" ht="18" customHeight="1" x14ac:dyDescent="0.3">
      <c r="A240" s="4" t="s">
        <v>40</v>
      </c>
      <c r="B240" s="4" t="s">
        <v>98</v>
      </c>
      <c r="C240" s="4" t="s">
        <v>47</v>
      </c>
      <c r="D240" s="4" t="s">
        <v>109</v>
      </c>
      <c r="E240" s="4" t="s">
        <v>110</v>
      </c>
      <c r="F240" s="7" t="s">
        <v>48</v>
      </c>
      <c r="G240" s="4" t="s">
        <v>81</v>
      </c>
      <c r="H240" s="5">
        <v>180</v>
      </c>
      <c r="I240" s="5">
        <v>146</v>
      </c>
      <c r="J240" s="6">
        <f t="shared" si="1176"/>
        <v>0.81111111111111112</v>
      </c>
      <c r="K240" s="5">
        <v>79</v>
      </c>
      <c r="L240" s="5">
        <v>37</v>
      </c>
      <c r="M240" s="5">
        <v>30</v>
      </c>
      <c r="N240" s="9">
        <v>14</v>
      </c>
      <c r="O240" s="46">
        <f t="shared" si="1177"/>
        <v>9.5890410958904104E-2</v>
      </c>
      <c r="P240" s="5">
        <v>4</v>
      </c>
      <c r="Q240" s="46">
        <f t="shared" ref="Q240" si="1454">IFERROR(P240/$I240,"")</f>
        <v>2.7397260273972601E-2</v>
      </c>
      <c r="R240" s="5">
        <v>73</v>
      </c>
      <c r="S240" s="46">
        <f t="shared" ref="S240" si="1455">IFERROR(R240/$I240,"")</f>
        <v>0.5</v>
      </c>
      <c r="T240" s="5">
        <v>2</v>
      </c>
      <c r="U240" s="46">
        <f t="shared" ref="U240" si="1456">IFERROR(T240/$I240,"")</f>
        <v>1.3698630136986301E-2</v>
      </c>
      <c r="V240" s="5">
        <v>39</v>
      </c>
      <c r="W240" s="46">
        <f t="shared" ref="W240" si="1457">IFERROR(V240/$I240,"")</f>
        <v>0.26712328767123289</v>
      </c>
      <c r="X240" s="5">
        <v>23</v>
      </c>
      <c r="Y240" s="46">
        <f t="shared" ref="Y240" si="1458">IFERROR(X240/$I240,"")</f>
        <v>0.15753424657534246</v>
      </c>
      <c r="Z240" s="5">
        <v>23</v>
      </c>
      <c r="AA240" s="46">
        <f t="shared" ref="AA240" si="1459">IFERROR(Z240/$I240,"")</f>
        <v>0.15753424657534246</v>
      </c>
      <c r="AB240" s="5">
        <v>118</v>
      </c>
      <c r="AC240" s="46">
        <f t="shared" si="1184"/>
        <v>0.65555555555555556</v>
      </c>
      <c r="AD240" s="5">
        <v>169</v>
      </c>
      <c r="AE240" s="5">
        <v>230433.67999999988</v>
      </c>
      <c r="AF240" s="5">
        <f t="shared" si="1185"/>
        <v>1952.8277966101684</v>
      </c>
      <c r="AG240" s="5">
        <v>1359.52</v>
      </c>
      <c r="AH240" s="49">
        <f t="shared" si="1186"/>
        <v>9.3117808219178073</v>
      </c>
      <c r="AI240" s="5">
        <v>2931</v>
      </c>
      <c r="AJ240" s="5">
        <v>14</v>
      </c>
      <c r="AK240" s="4">
        <v>32</v>
      </c>
      <c r="AL240" s="7">
        <v>27</v>
      </c>
      <c r="AM240" s="4">
        <v>4</v>
      </c>
      <c r="AN240" s="4">
        <v>1</v>
      </c>
      <c r="AO240" s="11">
        <f t="shared" si="1187"/>
        <v>81.25</v>
      </c>
      <c r="AP240" s="50">
        <f t="shared" si="1188"/>
        <v>0.17777777777777778</v>
      </c>
      <c r="AQ240" s="7">
        <v>180</v>
      </c>
      <c r="AR240" s="50">
        <f t="shared" si="1189"/>
        <v>1</v>
      </c>
      <c r="AS240" s="4"/>
    </row>
    <row r="241" spans="1:45" ht="18" customHeight="1" x14ac:dyDescent="0.3">
      <c r="A241" s="4" t="s">
        <v>40</v>
      </c>
      <c r="B241" s="4" t="s">
        <v>98</v>
      </c>
      <c r="C241" s="4" t="s">
        <v>47</v>
      </c>
      <c r="D241" s="4" t="s">
        <v>107</v>
      </c>
      <c r="E241" s="4" t="s">
        <v>108</v>
      </c>
      <c r="F241" s="7" t="s">
        <v>48</v>
      </c>
      <c r="G241" s="4" t="s">
        <v>72</v>
      </c>
      <c r="H241" s="5">
        <v>171</v>
      </c>
      <c r="I241" s="5">
        <v>142</v>
      </c>
      <c r="J241" s="6">
        <f t="shared" si="1176"/>
        <v>0.83040935672514615</v>
      </c>
      <c r="K241" s="5">
        <v>83</v>
      </c>
      <c r="L241" s="5">
        <v>38</v>
      </c>
      <c r="M241" s="5">
        <v>27</v>
      </c>
      <c r="N241" s="9">
        <v>14</v>
      </c>
      <c r="O241" s="46">
        <f t="shared" si="1177"/>
        <v>9.8591549295774641E-2</v>
      </c>
      <c r="P241" s="5">
        <v>6</v>
      </c>
      <c r="Q241" s="46">
        <f t="shared" ref="Q241" si="1460">IFERROR(P241/$I241,"")</f>
        <v>4.2253521126760563E-2</v>
      </c>
      <c r="R241" s="5">
        <v>72</v>
      </c>
      <c r="S241" s="46">
        <f t="shared" ref="S241" si="1461">IFERROR(R241/$I241,"")</f>
        <v>0.50704225352112675</v>
      </c>
      <c r="T241" s="5">
        <v>4</v>
      </c>
      <c r="U241" s="46">
        <f t="shared" ref="U241" si="1462">IFERROR(T241/$I241,"")</f>
        <v>2.8169014084507043E-2</v>
      </c>
      <c r="V241" s="5">
        <v>28</v>
      </c>
      <c r="W241" s="46">
        <f t="shared" ref="W241" si="1463">IFERROR(V241/$I241,"")</f>
        <v>0.19718309859154928</v>
      </c>
      <c r="X241" s="5">
        <v>24</v>
      </c>
      <c r="Y241" s="46">
        <f t="shared" ref="Y241" si="1464">IFERROR(X241/$I241,"")</f>
        <v>0.16901408450704225</v>
      </c>
      <c r="Z241" s="5">
        <v>17</v>
      </c>
      <c r="AA241" s="46">
        <f t="shared" ref="AA241" si="1465">IFERROR(Z241/$I241,"")</f>
        <v>0.11971830985915492</v>
      </c>
      <c r="AB241" s="5">
        <v>98</v>
      </c>
      <c r="AC241" s="46">
        <f t="shared" si="1184"/>
        <v>0.57309941520467833</v>
      </c>
      <c r="AD241" s="5">
        <v>189</v>
      </c>
      <c r="AE241" s="5">
        <v>259820.94999999963</v>
      </c>
      <c r="AF241" s="5">
        <f t="shared" si="1185"/>
        <v>2651.2341836734659</v>
      </c>
      <c r="AG241" s="5">
        <v>4066.6700000000005</v>
      </c>
      <c r="AH241" s="49">
        <f t="shared" si="1186"/>
        <v>28.638521126760565</v>
      </c>
      <c r="AI241" s="5">
        <v>26152</v>
      </c>
      <c r="AJ241" s="5">
        <v>23</v>
      </c>
      <c r="AK241" s="4">
        <v>22</v>
      </c>
      <c r="AL241" s="7">
        <v>19</v>
      </c>
      <c r="AM241" s="4">
        <v>1</v>
      </c>
      <c r="AN241" s="4">
        <v>2</v>
      </c>
      <c r="AO241" s="11">
        <f t="shared" si="1187"/>
        <v>77.272727272727266</v>
      </c>
      <c r="AP241" s="50">
        <f t="shared" si="1188"/>
        <v>0.12865497076023391</v>
      </c>
      <c r="AQ241" s="7">
        <v>171</v>
      </c>
      <c r="AR241" s="50">
        <f t="shared" si="1189"/>
        <v>1</v>
      </c>
      <c r="AS241" s="4"/>
    </row>
    <row r="242" spans="1:45" ht="18" customHeight="1" x14ac:dyDescent="0.3">
      <c r="A242" s="4" t="s">
        <v>40</v>
      </c>
      <c r="B242" s="4" t="s">
        <v>98</v>
      </c>
      <c r="C242" s="4" t="s">
        <v>47</v>
      </c>
      <c r="D242" s="4" t="s">
        <v>111</v>
      </c>
      <c r="E242" s="4" t="s">
        <v>112</v>
      </c>
      <c r="F242" s="7" t="s">
        <v>48</v>
      </c>
      <c r="G242" s="4" t="s">
        <v>88</v>
      </c>
      <c r="H242" s="5">
        <v>197</v>
      </c>
      <c r="I242" s="5">
        <v>171</v>
      </c>
      <c r="J242" s="6">
        <f t="shared" si="1176"/>
        <v>0.86802030456852797</v>
      </c>
      <c r="K242" s="5">
        <v>94</v>
      </c>
      <c r="L242" s="5">
        <v>45</v>
      </c>
      <c r="M242" s="5">
        <v>32</v>
      </c>
      <c r="N242" s="9">
        <v>16</v>
      </c>
      <c r="O242" s="46">
        <f t="shared" si="1177"/>
        <v>9.3567251461988299E-2</v>
      </c>
      <c r="P242" s="5">
        <v>9</v>
      </c>
      <c r="Q242" s="46">
        <f t="shared" ref="Q242" si="1466">IFERROR(P242/$I242,"")</f>
        <v>5.2631578947368418E-2</v>
      </c>
      <c r="R242" s="5">
        <v>97</v>
      </c>
      <c r="S242" s="46">
        <f t="shared" ref="S242" si="1467">IFERROR(R242/$I242,"")</f>
        <v>0.56725146198830412</v>
      </c>
      <c r="T242" s="5">
        <v>1</v>
      </c>
      <c r="U242" s="46">
        <f t="shared" ref="U242" si="1468">IFERROR(T242/$I242,"")</f>
        <v>5.8479532163742687E-3</v>
      </c>
      <c r="V242" s="5">
        <v>33</v>
      </c>
      <c r="W242" s="46">
        <f t="shared" ref="W242" si="1469">IFERROR(V242/$I242,"")</f>
        <v>0.19298245614035087</v>
      </c>
      <c r="X242" s="5">
        <v>43</v>
      </c>
      <c r="Y242" s="46">
        <f t="shared" ref="Y242" si="1470">IFERROR(X242/$I242,"")</f>
        <v>0.25146198830409355</v>
      </c>
      <c r="Z242" s="5">
        <v>24</v>
      </c>
      <c r="AA242" s="46">
        <f t="shared" ref="AA242" si="1471">IFERROR(Z242/$I242,"")</f>
        <v>0.14035087719298245</v>
      </c>
      <c r="AB242" s="5">
        <v>134</v>
      </c>
      <c r="AC242" s="46">
        <f t="shared" si="1184"/>
        <v>0.68020304568527923</v>
      </c>
      <c r="AD242" s="5">
        <v>219</v>
      </c>
      <c r="AE242" s="5">
        <v>298030.10000000009</v>
      </c>
      <c r="AF242" s="5">
        <f t="shared" si="1185"/>
        <v>2224.1052238805978</v>
      </c>
      <c r="AG242" s="5">
        <v>1040.48</v>
      </c>
      <c r="AH242" s="49">
        <f t="shared" si="1186"/>
        <v>6.0846783625730998</v>
      </c>
      <c r="AI242" s="5">
        <v>620</v>
      </c>
      <c r="AJ242" s="5">
        <v>15</v>
      </c>
      <c r="AK242" s="4">
        <v>28</v>
      </c>
      <c r="AL242" s="7">
        <v>25</v>
      </c>
      <c r="AM242" s="4">
        <v>3</v>
      </c>
      <c r="AN242" s="4">
        <v>0</v>
      </c>
      <c r="AO242" s="11">
        <f t="shared" si="1187"/>
        <v>89.285714285714292</v>
      </c>
      <c r="AP242" s="50">
        <f t="shared" si="1188"/>
        <v>0.14213197969543148</v>
      </c>
      <c r="AQ242" s="7">
        <v>197</v>
      </c>
      <c r="AR242" s="50">
        <f t="shared" si="1189"/>
        <v>1</v>
      </c>
      <c r="AS242" s="4"/>
    </row>
    <row r="243" spans="1:45" ht="18" customHeight="1" x14ac:dyDescent="0.3">
      <c r="A243" s="4" t="s">
        <v>40</v>
      </c>
      <c r="B243" s="4" t="s">
        <v>98</v>
      </c>
      <c r="C243" s="4" t="s">
        <v>47</v>
      </c>
      <c r="D243" s="4" t="s">
        <v>171</v>
      </c>
      <c r="E243" s="4" t="s">
        <v>172</v>
      </c>
      <c r="F243" s="7" t="s">
        <v>48</v>
      </c>
      <c r="G243" s="4" t="s">
        <v>173</v>
      </c>
      <c r="H243" s="5">
        <v>91</v>
      </c>
      <c r="I243" s="5">
        <v>87</v>
      </c>
      <c r="J243" s="6">
        <f t="shared" si="1176"/>
        <v>0.95604395604395609</v>
      </c>
      <c r="K243" s="5">
        <v>23</v>
      </c>
      <c r="L243" s="5">
        <v>9</v>
      </c>
      <c r="M243" s="5">
        <v>3</v>
      </c>
      <c r="N243" s="10">
        <v>4</v>
      </c>
      <c r="O243" s="46">
        <f t="shared" si="1177"/>
        <v>4.5977011494252873E-2</v>
      </c>
      <c r="P243" s="5">
        <v>1</v>
      </c>
      <c r="Q243" s="46">
        <f t="shared" ref="Q243" si="1472">IFERROR(P243/$I243,"")</f>
        <v>1.1494252873563218E-2</v>
      </c>
      <c r="R243" s="5">
        <v>30</v>
      </c>
      <c r="S243" s="46">
        <f t="shared" ref="S243" si="1473">IFERROR(R243/$I243,"")</f>
        <v>0.34482758620689657</v>
      </c>
      <c r="T243" s="5">
        <v>0</v>
      </c>
      <c r="U243" s="46">
        <f t="shared" ref="U243" si="1474">IFERROR(T243/$I243,"")</f>
        <v>0</v>
      </c>
      <c r="V243" s="5">
        <v>2</v>
      </c>
      <c r="W243" s="46">
        <f t="shared" ref="W243" si="1475">IFERROR(V243/$I243,"")</f>
        <v>2.2988505747126436E-2</v>
      </c>
      <c r="X243" s="5">
        <v>1</v>
      </c>
      <c r="Y243" s="46">
        <f t="shared" ref="Y243" si="1476">IFERROR(X243/$I243,"")</f>
        <v>1.1494252873563218E-2</v>
      </c>
      <c r="Z243" s="5">
        <v>2</v>
      </c>
      <c r="AA243" s="46">
        <f t="shared" ref="AA243" si="1477">IFERROR(Z243/$I243,"")</f>
        <v>2.2988505747126436E-2</v>
      </c>
      <c r="AB243" s="5">
        <v>31</v>
      </c>
      <c r="AC243" s="46">
        <f t="shared" si="1184"/>
        <v>0.34065934065934067</v>
      </c>
      <c r="AD243" s="5">
        <v>46</v>
      </c>
      <c r="AE243" s="5">
        <v>137602.38</v>
      </c>
      <c r="AF243" s="5">
        <f t="shared" si="1185"/>
        <v>4438.786451612903</v>
      </c>
      <c r="AG243" s="5">
        <v>0</v>
      </c>
      <c r="AH243" s="49">
        <f t="shared" si="1186"/>
        <v>0</v>
      </c>
      <c r="AI243" s="5">
        <v>799</v>
      </c>
      <c r="AJ243" s="5">
        <v>1</v>
      </c>
      <c r="AK243" s="4">
        <v>24</v>
      </c>
      <c r="AL243" s="7">
        <v>21</v>
      </c>
      <c r="AM243" s="4">
        <v>2</v>
      </c>
      <c r="AN243" s="4">
        <v>1</v>
      </c>
      <c r="AO243" s="11">
        <f t="shared" si="1187"/>
        <v>83.333333333333343</v>
      </c>
      <c r="AP243" s="50">
        <f t="shared" si="1188"/>
        <v>0.26373626373626374</v>
      </c>
      <c r="AQ243" s="7">
        <v>91</v>
      </c>
      <c r="AR243" s="50">
        <f t="shared" si="1189"/>
        <v>1</v>
      </c>
      <c r="AS243" s="4"/>
    </row>
    <row r="244" spans="1:45" ht="18" customHeight="1" x14ac:dyDescent="0.3">
      <c r="A244" s="4" t="s">
        <v>40</v>
      </c>
      <c r="B244" s="4" t="s">
        <v>115</v>
      </c>
      <c r="C244" s="4" t="s">
        <v>47</v>
      </c>
      <c r="D244" s="4" t="s">
        <v>105</v>
      </c>
      <c r="E244" s="4" t="s">
        <v>106</v>
      </c>
      <c r="F244" s="7" t="s">
        <v>48</v>
      </c>
      <c r="G244" s="4" t="s">
        <v>49</v>
      </c>
      <c r="H244" s="5">
        <v>186</v>
      </c>
      <c r="I244" s="5">
        <v>164</v>
      </c>
      <c r="J244" s="6">
        <f t="shared" si="1176"/>
        <v>0.88172043010752688</v>
      </c>
      <c r="K244" s="5">
        <v>52</v>
      </c>
      <c r="L244" s="5">
        <v>28</v>
      </c>
      <c r="M244" s="5">
        <v>14</v>
      </c>
      <c r="N244" s="9">
        <v>21</v>
      </c>
      <c r="O244" s="46">
        <f t="shared" si="1177"/>
        <v>0.12804878048780488</v>
      </c>
      <c r="P244" s="5">
        <v>7</v>
      </c>
      <c r="Q244" s="46">
        <f t="shared" ref="Q244" si="1478">IFERROR(P244/$I244,"")</f>
        <v>4.2682926829268296E-2</v>
      </c>
      <c r="R244" s="5">
        <v>69</v>
      </c>
      <c r="S244" s="46">
        <f t="shared" ref="S244" si="1479">IFERROR(R244/$I244,"")</f>
        <v>0.42073170731707316</v>
      </c>
      <c r="T244" s="5">
        <v>0</v>
      </c>
      <c r="U244" s="46">
        <f t="shared" ref="U244" si="1480">IFERROR(T244/$I244,"")</f>
        <v>0</v>
      </c>
      <c r="V244" s="5">
        <v>24</v>
      </c>
      <c r="W244" s="46">
        <f t="shared" ref="W244" si="1481">IFERROR(V244/$I244,"")</f>
        <v>0.14634146341463414</v>
      </c>
      <c r="X244" s="5">
        <v>17</v>
      </c>
      <c r="Y244" s="46">
        <f t="shared" ref="Y244" si="1482">IFERROR(X244/$I244,"")</f>
        <v>0.10365853658536585</v>
      </c>
      <c r="Z244" s="5">
        <v>13</v>
      </c>
      <c r="AA244" s="46">
        <f t="shared" ref="AA244" si="1483">IFERROR(Z244/$I244,"")</f>
        <v>7.926829268292683E-2</v>
      </c>
      <c r="AB244" s="5">
        <v>85</v>
      </c>
      <c r="AC244" s="46">
        <f t="shared" si="1184"/>
        <v>0.45698924731182794</v>
      </c>
      <c r="AD244" s="5">
        <v>86</v>
      </c>
      <c r="AE244" s="5">
        <v>107869.78000000003</v>
      </c>
      <c r="AF244" s="5">
        <f t="shared" si="1185"/>
        <v>1269.0562352941179</v>
      </c>
      <c r="AG244" s="5">
        <v>0</v>
      </c>
      <c r="AH244" s="49">
        <f t="shared" si="1186"/>
        <v>0</v>
      </c>
      <c r="AI244" s="5">
        <v>228138</v>
      </c>
      <c r="AJ244" s="5">
        <v>13</v>
      </c>
      <c r="AK244" s="4">
        <v>65</v>
      </c>
      <c r="AL244" s="7">
        <v>60</v>
      </c>
      <c r="AM244" s="4">
        <v>5</v>
      </c>
      <c r="AN244" s="4">
        <v>0</v>
      </c>
      <c r="AO244" s="11">
        <f t="shared" si="1187"/>
        <v>92.307692307692307</v>
      </c>
      <c r="AP244" s="50">
        <f t="shared" si="1188"/>
        <v>0.34946236559139787</v>
      </c>
      <c r="AQ244" s="7">
        <v>186</v>
      </c>
      <c r="AR244" s="50">
        <f t="shared" si="1189"/>
        <v>1</v>
      </c>
      <c r="AS244" s="4"/>
    </row>
    <row r="245" spans="1:45" ht="18" customHeight="1" x14ac:dyDescent="0.3">
      <c r="A245" s="4" t="s">
        <v>40</v>
      </c>
      <c r="B245" s="4" t="s">
        <v>118</v>
      </c>
      <c r="C245" s="4" t="s">
        <v>47</v>
      </c>
      <c r="D245" s="4" t="s">
        <v>119</v>
      </c>
      <c r="E245" s="4" t="s">
        <v>120</v>
      </c>
      <c r="F245" s="7" t="s">
        <v>48</v>
      </c>
      <c r="G245" s="4" t="s">
        <v>49</v>
      </c>
      <c r="H245" s="5">
        <v>110</v>
      </c>
      <c r="I245" s="5">
        <v>88</v>
      </c>
      <c r="J245" s="6">
        <f t="shared" si="1176"/>
        <v>0.8</v>
      </c>
      <c r="K245" s="5">
        <v>19</v>
      </c>
      <c r="L245" s="5">
        <v>11</v>
      </c>
      <c r="M245" s="5">
        <v>6</v>
      </c>
      <c r="N245" s="9">
        <v>5</v>
      </c>
      <c r="O245" s="46">
        <f t="shared" si="1177"/>
        <v>5.6818181818181816E-2</v>
      </c>
      <c r="P245" s="5">
        <v>1</v>
      </c>
      <c r="Q245" s="46">
        <f t="shared" ref="Q245" si="1484">IFERROR(P245/$I245,"")</f>
        <v>1.1363636363636364E-2</v>
      </c>
      <c r="R245" s="5">
        <v>52</v>
      </c>
      <c r="S245" s="46">
        <f t="shared" ref="S245" si="1485">IFERROR(R245/$I245,"")</f>
        <v>0.59090909090909094</v>
      </c>
      <c r="T245" s="5">
        <v>0</v>
      </c>
      <c r="U245" s="46">
        <f t="shared" ref="U245" si="1486">IFERROR(T245/$I245,"")</f>
        <v>0</v>
      </c>
      <c r="V245" s="5">
        <v>4</v>
      </c>
      <c r="W245" s="46">
        <f t="shared" ref="W245" si="1487">IFERROR(V245/$I245,"")</f>
        <v>4.5454545454545456E-2</v>
      </c>
      <c r="X245" s="5">
        <v>7</v>
      </c>
      <c r="Y245" s="46">
        <f t="shared" ref="Y245" si="1488">IFERROR(X245/$I245,"")</f>
        <v>7.9545454545454544E-2</v>
      </c>
      <c r="Z245" s="5">
        <v>19</v>
      </c>
      <c r="AA245" s="46">
        <f t="shared" ref="AA245" si="1489">IFERROR(Z245/$I245,"")</f>
        <v>0.21590909090909091</v>
      </c>
      <c r="AB245" s="5">
        <v>46</v>
      </c>
      <c r="AC245" s="46">
        <f t="shared" si="1184"/>
        <v>0.41818181818181815</v>
      </c>
      <c r="AD245" s="5">
        <v>53</v>
      </c>
      <c r="AE245" s="5">
        <v>55471.42</v>
      </c>
      <c r="AF245" s="5">
        <f t="shared" si="1185"/>
        <v>1205.9004347826087</v>
      </c>
      <c r="AG245" s="5">
        <v>0</v>
      </c>
      <c r="AH245" s="49">
        <f t="shared" si="1186"/>
        <v>0</v>
      </c>
      <c r="AI245" s="5">
        <v>8944</v>
      </c>
      <c r="AJ245" s="5">
        <v>0</v>
      </c>
      <c r="AK245" s="4">
        <v>24</v>
      </c>
      <c r="AL245" s="7">
        <v>21</v>
      </c>
      <c r="AM245" s="4">
        <v>3</v>
      </c>
      <c r="AN245" s="4">
        <v>0</v>
      </c>
      <c r="AO245" s="11">
        <f t="shared" si="1187"/>
        <v>87.5</v>
      </c>
      <c r="AP245" s="50">
        <f t="shared" si="1188"/>
        <v>0.21818181818181817</v>
      </c>
      <c r="AQ245" s="7">
        <v>110</v>
      </c>
      <c r="AR245" s="50">
        <f t="shared" si="1189"/>
        <v>1</v>
      </c>
      <c r="AS245" s="4"/>
    </row>
    <row r="246" spans="1:45" ht="18" customHeight="1" x14ac:dyDescent="0.3">
      <c r="A246" s="4" t="s">
        <v>40</v>
      </c>
      <c r="B246" s="4" t="s">
        <v>121</v>
      </c>
      <c r="C246" s="4" t="s">
        <v>47</v>
      </c>
      <c r="D246" s="4" t="s">
        <v>122</v>
      </c>
      <c r="E246" s="4" t="s">
        <v>123</v>
      </c>
      <c r="F246" s="7" t="s">
        <v>48</v>
      </c>
      <c r="G246" s="4" t="s">
        <v>57</v>
      </c>
      <c r="H246" s="5">
        <v>201</v>
      </c>
      <c r="I246" s="5">
        <v>173</v>
      </c>
      <c r="J246" s="6">
        <f t="shared" si="1176"/>
        <v>0.86069651741293529</v>
      </c>
      <c r="K246" s="5">
        <v>96</v>
      </c>
      <c r="L246" s="5">
        <v>57</v>
      </c>
      <c r="M246" s="5">
        <v>32</v>
      </c>
      <c r="N246" s="9">
        <v>20</v>
      </c>
      <c r="O246" s="46">
        <f t="shared" si="1177"/>
        <v>0.11560693641618497</v>
      </c>
      <c r="P246" s="5">
        <v>9</v>
      </c>
      <c r="Q246" s="46">
        <f t="shared" ref="Q246" si="1490">IFERROR(P246/$I246,"")</f>
        <v>5.2023121387283239E-2</v>
      </c>
      <c r="R246" s="5">
        <v>82</v>
      </c>
      <c r="S246" s="46">
        <f t="shared" ref="S246" si="1491">IFERROR(R246/$I246,"")</f>
        <v>0.47398843930635837</v>
      </c>
      <c r="T246" s="5">
        <v>2</v>
      </c>
      <c r="U246" s="46">
        <f t="shared" ref="U246" si="1492">IFERROR(T246/$I246,"")</f>
        <v>1.1560693641618497E-2</v>
      </c>
      <c r="V246" s="5">
        <v>43</v>
      </c>
      <c r="W246" s="46">
        <f t="shared" ref="W246" si="1493">IFERROR(V246/$I246,"")</f>
        <v>0.24855491329479767</v>
      </c>
      <c r="X246" s="5">
        <v>50</v>
      </c>
      <c r="Y246" s="46">
        <f t="shared" ref="Y246" si="1494">IFERROR(X246/$I246,"")</f>
        <v>0.28901734104046245</v>
      </c>
      <c r="Z246" s="5">
        <v>31</v>
      </c>
      <c r="AA246" s="46">
        <f t="shared" ref="AA246" si="1495">IFERROR(Z246/$I246,"")</f>
        <v>0.1791907514450867</v>
      </c>
      <c r="AB246" s="5">
        <v>167</v>
      </c>
      <c r="AC246" s="46">
        <f t="shared" si="1184"/>
        <v>0.8308457711442786</v>
      </c>
      <c r="AD246" s="5">
        <v>382</v>
      </c>
      <c r="AE246" s="5">
        <v>504402.44000000169</v>
      </c>
      <c r="AF246" s="5">
        <f t="shared" si="1185"/>
        <v>3020.373892215579</v>
      </c>
      <c r="AG246" s="5">
        <v>5185.6099999999997</v>
      </c>
      <c r="AH246" s="49">
        <f t="shared" si="1186"/>
        <v>29.974624277456645</v>
      </c>
      <c r="AI246" s="5">
        <v>10323</v>
      </c>
      <c r="AJ246" s="5">
        <v>46</v>
      </c>
      <c r="AK246" s="4">
        <v>58</v>
      </c>
      <c r="AL246" s="7">
        <v>53</v>
      </c>
      <c r="AM246" s="4">
        <v>2</v>
      </c>
      <c r="AN246" s="4">
        <v>3</v>
      </c>
      <c r="AO246" s="11">
        <f t="shared" si="1187"/>
        <v>86.206896551724128</v>
      </c>
      <c r="AP246" s="50">
        <f t="shared" si="1188"/>
        <v>0.28855721393034828</v>
      </c>
      <c r="AQ246" s="7">
        <v>201</v>
      </c>
      <c r="AR246" s="50">
        <f t="shared" si="1189"/>
        <v>1</v>
      </c>
      <c r="AS246" s="4"/>
    </row>
    <row r="247" spans="1:45" ht="18" customHeight="1" x14ac:dyDescent="0.3">
      <c r="A247" s="4" t="s">
        <v>40</v>
      </c>
      <c r="B247" s="4" t="s">
        <v>121</v>
      </c>
      <c r="C247" s="4" t="s">
        <v>47</v>
      </c>
      <c r="D247" s="4" t="s">
        <v>124</v>
      </c>
      <c r="E247" s="4" t="s">
        <v>125</v>
      </c>
      <c r="F247" s="7" t="s">
        <v>48</v>
      </c>
      <c r="G247" s="4" t="s">
        <v>72</v>
      </c>
      <c r="H247" s="5">
        <v>168</v>
      </c>
      <c r="I247" s="5">
        <v>144</v>
      </c>
      <c r="J247" s="6">
        <f t="shared" si="1176"/>
        <v>0.8571428571428571</v>
      </c>
      <c r="K247" s="5">
        <v>87</v>
      </c>
      <c r="L247" s="5">
        <v>49</v>
      </c>
      <c r="M247" s="5">
        <v>37</v>
      </c>
      <c r="N247" s="9">
        <v>4</v>
      </c>
      <c r="O247" s="46">
        <f t="shared" si="1177"/>
        <v>2.7777777777777776E-2</v>
      </c>
      <c r="P247" s="5">
        <v>10</v>
      </c>
      <c r="Q247" s="46">
        <f t="shared" ref="Q247" si="1496">IFERROR(P247/$I247,"")</f>
        <v>6.9444444444444448E-2</v>
      </c>
      <c r="R247" s="5">
        <v>79</v>
      </c>
      <c r="S247" s="46">
        <f t="shared" ref="S247" si="1497">IFERROR(R247/$I247,"")</f>
        <v>0.54861111111111116</v>
      </c>
      <c r="T247" s="5">
        <v>1</v>
      </c>
      <c r="U247" s="46">
        <f t="shared" ref="U247" si="1498">IFERROR(T247/$I247,"")</f>
        <v>6.9444444444444441E-3</v>
      </c>
      <c r="V247" s="5">
        <v>20</v>
      </c>
      <c r="W247" s="46">
        <f t="shared" ref="W247" si="1499">IFERROR(V247/$I247,"")</f>
        <v>0.1388888888888889</v>
      </c>
      <c r="X247" s="5">
        <v>24</v>
      </c>
      <c r="Y247" s="46">
        <f t="shared" ref="Y247" si="1500">IFERROR(X247/$I247,"")</f>
        <v>0.16666666666666666</v>
      </c>
      <c r="Z247" s="5">
        <v>45</v>
      </c>
      <c r="AA247" s="46">
        <f t="shared" ref="AA247" si="1501">IFERROR(Z247/$I247,"")</f>
        <v>0.3125</v>
      </c>
      <c r="AB247" s="5">
        <v>132</v>
      </c>
      <c r="AC247" s="46">
        <f t="shared" si="1184"/>
        <v>0.7857142857142857</v>
      </c>
      <c r="AD247" s="5">
        <v>250</v>
      </c>
      <c r="AE247" s="5">
        <v>296343.93000000017</v>
      </c>
      <c r="AF247" s="5">
        <f t="shared" si="1185"/>
        <v>2245.0297727272741</v>
      </c>
      <c r="AG247" s="5">
        <v>2233.02</v>
      </c>
      <c r="AH247" s="49">
        <f t="shared" si="1186"/>
        <v>15.507083333333334</v>
      </c>
      <c r="AI247" s="5">
        <v>4231</v>
      </c>
      <c r="AJ247" s="5">
        <v>18</v>
      </c>
      <c r="AK247" s="4">
        <v>42</v>
      </c>
      <c r="AL247" s="7">
        <v>39</v>
      </c>
      <c r="AM247" s="4">
        <v>2</v>
      </c>
      <c r="AN247" s="4">
        <v>1</v>
      </c>
      <c r="AO247" s="11">
        <f t="shared" si="1187"/>
        <v>90.476190476190482</v>
      </c>
      <c r="AP247" s="50">
        <f t="shared" si="1188"/>
        <v>0.25</v>
      </c>
      <c r="AQ247" s="7">
        <v>168</v>
      </c>
      <c r="AR247" s="50">
        <f t="shared" si="1189"/>
        <v>1</v>
      </c>
      <c r="AS247" s="4"/>
    </row>
    <row r="248" spans="1:45" ht="18" customHeight="1" x14ac:dyDescent="0.3">
      <c r="A248" s="4" t="s">
        <v>40</v>
      </c>
      <c r="B248" s="4" t="s">
        <v>121</v>
      </c>
      <c r="C248" s="4" t="s">
        <v>47</v>
      </c>
      <c r="D248" s="4" t="s">
        <v>126</v>
      </c>
      <c r="E248" s="4" t="s">
        <v>127</v>
      </c>
      <c r="F248" s="7" t="s">
        <v>48</v>
      </c>
      <c r="G248" s="4" t="s">
        <v>162</v>
      </c>
      <c r="H248" s="5">
        <v>203</v>
      </c>
      <c r="I248" s="5">
        <v>161</v>
      </c>
      <c r="J248" s="6">
        <f t="shared" si="1176"/>
        <v>0.7931034482758621</v>
      </c>
      <c r="K248" s="5">
        <v>80</v>
      </c>
      <c r="L248" s="5">
        <v>48</v>
      </c>
      <c r="M248" s="5">
        <v>21</v>
      </c>
      <c r="N248" s="9">
        <v>32</v>
      </c>
      <c r="O248" s="46">
        <f t="shared" si="1177"/>
        <v>0.19875776397515527</v>
      </c>
      <c r="P248" s="5">
        <v>9</v>
      </c>
      <c r="Q248" s="46">
        <f t="shared" ref="Q248" si="1502">IFERROR(P248/$I248,"")</f>
        <v>5.5900621118012424E-2</v>
      </c>
      <c r="R248" s="5">
        <v>81</v>
      </c>
      <c r="S248" s="46">
        <f t="shared" ref="S248" si="1503">IFERROR(R248/$I248,"")</f>
        <v>0.50310559006211175</v>
      </c>
      <c r="T248" s="5">
        <v>3</v>
      </c>
      <c r="U248" s="46">
        <f t="shared" ref="U248" si="1504">IFERROR(T248/$I248,"")</f>
        <v>1.8633540372670808E-2</v>
      </c>
      <c r="V248" s="5">
        <v>30</v>
      </c>
      <c r="W248" s="46">
        <f t="shared" ref="W248" si="1505">IFERROR(V248/$I248,"")</f>
        <v>0.18633540372670807</v>
      </c>
      <c r="X248" s="5">
        <v>32</v>
      </c>
      <c r="Y248" s="46">
        <f t="shared" ref="Y248" si="1506">IFERROR(X248/$I248,"")</f>
        <v>0.19875776397515527</v>
      </c>
      <c r="Z248" s="5">
        <v>42</v>
      </c>
      <c r="AA248" s="46">
        <f t="shared" ref="AA248" si="1507">IFERROR(Z248/$I248,"")</f>
        <v>0.2608695652173913</v>
      </c>
      <c r="AB248" s="5">
        <v>144</v>
      </c>
      <c r="AC248" s="46">
        <f t="shared" si="1184"/>
        <v>0.70935960591133007</v>
      </c>
      <c r="AD248" s="5">
        <v>325</v>
      </c>
      <c r="AE248" s="5">
        <v>471744.38000000123</v>
      </c>
      <c r="AF248" s="5">
        <f t="shared" si="1185"/>
        <v>3276.0026388888973</v>
      </c>
      <c r="AG248" s="5">
        <v>5390.0900000000011</v>
      </c>
      <c r="AH248" s="49">
        <f t="shared" si="1186"/>
        <v>33.478819875776402</v>
      </c>
      <c r="AI248" s="5">
        <v>360</v>
      </c>
      <c r="AJ248" s="5">
        <v>17</v>
      </c>
      <c r="AK248" s="4">
        <v>32</v>
      </c>
      <c r="AL248" s="7">
        <v>28</v>
      </c>
      <c r="AM248" s="4">
        <v>1</v>
      </c>
      <c r="AN248" s="4">
        <v>3</v>
      </c>
      <c r="AO248" s="11">
        <f t="shared" si="1187"/>
        <v>78.125</v>
      </c>
      <c r="AP248" s="50">
        <f t="shared" si="1188"/>
        <v>0.15763546798029557</v>
      </c>
      <c r="AQ248" s="7">
        <v>203</v>
      </c>
      <c r="AR248" s="50">
        <f t="shared" si="1189"/>
        <v>1</v>
      </c>
      <c r="AS248" s="4"/>
    </row>
    <row r="249" spans="1:45" ht="18" customHeight="1" x14ac:dyDescent="0.3">
      <c r="A249" s="4" t="s">
        <v>40</v>
      </c>
      <c r="B249" s="4" t="s">
        <v>121</v>
      </c>
      <c r="C249" s="4" t="s">
        <v>47</v>
      </c>
      <c r="D249" s="4" t="s">
        <v>128</v>
      </c>
      <c r="E249" s="4" t="s">
        <v>129</v>
      </c>
      <c r="F249" s="7" t="s">
        <v>48</v>
      </c>
      <c r="G249" s="4" t="s">
        <v>162</v>
      </c>
      <c r="H249" s="5">
        <v>220</v>
      </c>
      <c r="I249" s="5">
        <v>193</v>
      </c>
      <c r="J249" s="6">
        <f t="shared" si="1176"/>
        <v>0.87727272727272732</v>
      </c>
      <c r="K249" s="5">
        <v>114</v>
      </c>
      <c r="L249" s="5">
        <v>64</v>
      </c>
      <c r="M249" s="5">
        <v>34</v>
      </c>
      <c r="N249" s="9">
        <v>32</v>
      </c>
      <c r="O249" s="46">
        <f t="shared" si="1177"/>
        <v>0.16580310880829016</v>
      </c>
      <c r="P249" s="5">
        <v>9</v>
      </c>
      <c r="Q249" s="46">
        <f t="shared" ref="Q249" si="1508">IFERROR(P249/$I249,"")</f>
        <v>4.6632124352331605E-2</v>
      </c>
      <c r="R249" s="5">
        <v>78</v>
      </c>
      <c r="S249" s="46">
        <f t="shared" ref="S249" si="1509">IFERROR(R249/$I249,"")</f>
        <v>0.40414507772020725</v>
      </c>
      <c r="T249" s="5">
        <v>0</v>
      </c>
      <c r="U249" s="46">
        <f t="shared" ref="U249" si="1510">IFERROR(T249/$I249,"")</f>
        <v>0</v>
      </c>
      <c r="V249" s="5">
        <v>55</v>
      </c>
      <c r="W249" s="46">
        <f t="shared" ref="W249" si="1511">IFERROR(V249/$I249,"")</f>
        <v>0.28497409326424872</v>
      </c>
      <c r="X249" s="5">
        <v>34</v>
      </c>
      <c r="Y249" s="46">
        <f t="shared" ref="Y249" si="1512">IFERROR(X249/$I249,"")</f>
        <v>0.17616580310880828</v>
      </c>
      <c r="Z249" s="5">
        <v>28</v>
      </c>
      <c r="AA249" s="46">
        <f t="shared" ref="AA249" si="1513">IFERROR(Z249/$I249,"")</f>
        <v>0.14507772020725387</v>
      </c>
      <c r="AB249" s="5">
        <v>161</v>
      </c>
      <c r="AC249" s="46">
        <f t="shared" si="1184"/>
        <v>0.73181818181818181</v>
      </c>
      <c r="AD249" s="5">
        <v>217</v>
      </c>
      <c r="AE249" s="5">
        <v>383524.99000000098</v>
      </c>
      <c r="AF249" s="5">
        <f t="shared" si="1185"/>
        <v>2382.1427950310622</v>
      </c>
      <c r="AG249" s="5">
        <v>4090.8399999999997</v>
      </c>
      <c r="AH249" s="49">
        <f t="shared" si="1186"/>
        <v>21.196062176165803</v>
      </c>
      <c r="AI249" s="5">
        <v>720</v>
      </c>
      <c r="AJ249" s="5">
        <v>45</v>
      </c>
      <c r="AK249" s="4">
        <v>42</v>
      </c>
      <c r="AL249" s="7">
        <v>39</v>
      </c>
      <c r="AM249" s="4">
        <v>2</v>
      </c>
      <c r="AN249" s="4">
        <v>1</v>
      </c>
      <c r="AO249" s="11">
        <f t="shared" si="1187"/>
        <v>90.476190476190482</v>
      </c>
      <c r="AP249" s="50">
        <f t="shared" si="1188"/>
        <v>0.19090909090909092</v>
      </c>
      <c r="AQ249" s="7">
        <v>220</v>
      </c>
      <c r="AR249" s="50">
        <f t="shared" si="1189"/>
        <v>1</v>
      </c>
      <c r="AS249" s="4"/>
    </row>
    <row r="250" spans="1:45" ht="18" customHeight="1" x14ac:dyDescent="0.3">
      <c r="A250" s="4" t="s">
        <v>40</v>
      </c>
      <c r="B250" s="4" t="s">
        <v>121</v>
      </c>
      <c r="C250" s="4" t="s">
        <v>47</v>
      </c>
      <c r="D250" s="4" t="s">
        <v>130</v>
      </c>
      <c r="E250" s="4" t="s">
        <v>131</v>
      </c>
      <c r="F250" s="7" t="s">
        <v>48</v>
      </c>
      <c r="G250" s="4" t="s">
        <v>81</v>
      </c>
      <c r="H250" s="5">
        <v>218</v>
      </c>
      <c r="I250" s="5">
        <v>185</v>
      </c>
      <c r="J250" s="6">
        <f t="shared" si="1176"/>
        <v>0.84862385321100919</v>
      </c>
      <c r="K250" s="5">
        <v>98</v>
      </c>
      <c r="L250" s="5">
        <v>47</v>
      </c>
      <c r="M250" s="5">
        <v>37</v>
      </c>
      <c r="N250" s="9">
        <v>37</v>
      </c>
      <c r="O250" s="46">
        <f t="shared" si="1177"/>
        <v>0.2</v>
      </c>
      <c r="P250" s="5">
        <v>11</v>
      </c>
      <c r="Q250" s="46">
        <f t="shared" ref="Q250" si="1514">IFERROR(P250/$I250,"")</f>
        <v>5.9459459459459463E-2</v>
      </c>
      <c r="R250" s="5">
        <v>105</v>
      </c>
      <c r="S250" s="46">
        <f t="shared" ref="S250" si="1515">IFERROR(R250/$I250,"")</f>
        <v>0.56756756756756754</v>
      </c>
      <c r="T250" s="5">
        <v>0</v>
      </c>
      <c r="U250" s="46">
        <f t="shared" ref="U250" si="1516">IFERROR(T250/$I250,"")</f>
        <v>0</v>
      </c>
      <c r="V250" s="5">
        <v>42</v>
      </c>
      <c r="W250" s="46">
        <f t="shared" ref="W250" si="1517">IFERROR(V250/$I250,"")</f>
        <v>0.22702702702702704</v>
      </c>
      <c r="X250" s="5">
        <v>37</v>
      </c>
      <c r="Y250" s="46">
        <f t="shared" ref="Y250" si="1518">IFERROR(X250/$I250,"")</f>
        <v>0.2</v>
      </c>
      <c r="Z250" s="5">
        <v>77</v>
      </c>
      <c r="AA250" s="46">
        <f t="shared" ref="AA250" si="1519">IFERROR(Z250/$I250,"")</f>
        <v>0.41621621621621624</v>
      </c>
      <c r="AB250" s="5">
        <v>186</v>
      </c>
      <c r="AC250" s="46">
        <f t="shared" si="1184"/>
        <v>0.85321100917431192</v>
      </c>
      <c r="AD250" s="5">
        <v>382</v>
      </c>
      <c r="AE250" s="5">
        <v>448913.59000000154</v>
      </c>
      <c r="AF250" s="5">
        <f t="shared" si="1185"/>
        <v>2413.5139247311909</v>
      </c>
      <c r="AG250" s="5">
        <v>3172.41</v>
      </c>
      <c r="AH250" s="49">
        <f t="shared" si="1186"/>
        <v>17.148162162162162</v>
      </c>
      <c r="AI250" s="5">
        <v>0</v>
      </c>
      <c r="AJ250" s="5">
        <v>41</v>
      </c>
      <c r="AK250" s="4">
        <v>76</v>
      </c>
      <c r="AL250" s="7">
        <v>68</v>
      </c>
      <c r="AM250" s="4">
        <v>3</v>
      </c>
      <c r="AN250" s="4">
        <v>5</v>
      </c>
      <c r="AO250" s="11">
        <f t="shared" si="1187"/>
        <v>82.89473684210526</v>
      </c>
      <c r="AP250" s="50">
        <f t="shared" si="1188"/>
        <v>0.34862385321100919</v>
      </c>
      <c r="AQ250" s="7">
        <v>218</v>
      </c>
      <c r="AR250" s="50">
        <f t="shared" si="1189"/>
        <v>1</v>
      </c>
      <c r="AS250" s="4"/>
    </row>
    <row r="251" spans="1:45" ht="18" customHeight="1" x14ac:dyDescent="0.3">
      <c r="A251" s="4" t="s">
        <v>40</v>
      </c>
      <c r="B251" s="4" t="s">
        <v>121</v>
      </c>
      <c r="C251" s="4" t="s">
        <v>47</v>
      </c>
      <c r="D251" s="4" t="s">
        <v>132</v>
      </c>
      <c r="E251" s="4" t="s">
        <v>133</v>
      </c>
      <c r="F251" s="7" t="s">
        <v>48</v>
      </c>
      <c r="G251" s="4" t="s">
        <v>72</v>
      </c>
      <c r="H251" s="5">
        <v>219</v>
      </c>
      <c r="I251" s="5">
        <v>187</v>
      </c>
      <c r="J251" s="6">
        <f t="shared" si="1176"/>
        <v>0.85388127853881279</v>
      </c>
      <c r="K251" s="5">
        <v>105</v>
      </c>
      <c r="L251" s="5">
        <v>58</v>
      </c>
      <c r="M251" s="5">
        <v>37</v>
      </c>
      <c r="N251" s="9">
        <v>32</v>
      </c>
      <c r="O251" s="46">
        <f t="shared" si="1177"/>
        <v>0.17112299465240641</v>
      </c>
      <c r="P251" s="5">
        <v>11</v>
      </c>
      <c r="Q251" s="46">
        <f t="shared" ref="Q251" si="1520">IFERROR(P251/$I251,"")</f>
        <v>5.8823529411764705E-2</v>
      </c>
      <c r="R251" s="5">
        <v>104</v>
      </c>
      <c r="S251" s="46">
        <f t="shared" ref="S251" si="1521">IFERROR(R251/$I251,"")</f>
        <v>0.55614973262032086</v>
      </c>
      <c r="T251" s="5">
        <v>0</v>
      </c>
      <c r="U251" s="46">
        <f t="shared" ref="U251" si="1522">IFERROR(T251/$I251,"")</f>
        <v>0</v>
      </c>
      <c r="V251" s="5">
        <v>45</v>
      </c>
      <c r="W251" s="46">
        <f t="shared" ref="W251" si="1523">IFERROR(V251/$I251,"")</f>
        <v>0.24064171122994651</v>
      </c>
      <c r="X251" s="5">
        <v>47</v>
      </c>
      <c r="Y251" s="46">
        <f t="shared" ref="Y251" si="1524">IFERROR(X251/$I251,"")</f>
        <v>0.25133689839572193</v>
      </c>
      <c r="Z251" s="5">
        <v>35</v>
      </c>
      <c r="AA251" s="46">
        <f t="shared" ref="AA251" si="1525">IFERROR(Z251/$I251,"")</f>
        <v>0.18716577540106952</v>
      </c>
      <c r="AB251" s="5">
        <v>180</v>
      </c>
      <c r="AC251" s="46">
        <f t="shared" si="1184"/>
        <v>0.82191780821917804</v>
      </c>
      <c r="AD251" s="5">
        <v>326</v>
      </c>
      <c r="AE251" s="5">
        <v>455684.12000000116</v>
      </c>
      <c r="AF251" s="5">
        <f t="shared" si="1185"/>
        <v>2531.5784444444507</v>
      </c>
      <c r="AG251" s="5">
        <v>3790.54</v>
      </c>
      <c r="AH251" s="49">
        <f t="shared" si="1186"/>
        <v>20.270267379679144</v>
      </c>
      <c r="AI251" s="5">
        <v>41995</v>
      </c>
      <c r="AJ251" s="5">
        <v>31</v>
      </c>
      <c r="AK251" s="4">
        <v>69</v>
      </c>
      <c r="AL251" s="7">
        <v>60</v>
      </c>
      <c r="AM251" s="4">
        <v>4</v>
      </c>
      <c r="AN251" s="4">
        <v>5</v>
      </c>
      <c r="AO251" s="11">
        <f t="shared" si="1187"/>
        <v>79.710144927536234</v>
      </c>
      <c r="AP251" s="50">
        <f t="shared" si="1188"/>
        <v>0.31506849315068491</v>
      </c>
      <c r="AQ251" s="7">
        <v>219</v>
      </c>
      <c r="AR251" s="50">
        <f t="shared" si="1189"/>
        <v>1</v>
      </c>
      <c r="AS251" s="4"/>
    </row>
    <row r="252" spans="1:45" ht="18" customHeight="1" x14ac:dyDescent="0.3">
      <c r="A252" s="4" t="s">
        <v>40</v>
      </c>
      <c r="B252" s="4" t="s">
        <v>121</v>
      </c>
      <c r="C252" s="4" t="s">
        <v>47</v>
      </c>
      <c r="D252" s="4" t="s">
        <v>174</v>
      </c>
      <c r="E252" s="4" t="s">
        <v>158</v>
      </c>
      <c r="F252" s="7" t="s">
        <v>48</v>
      </c>
      <c r="G252" s="4" t="s">
        <v>173</v>
      </c>
      <c r="H252" s="5">
        <v>153</v>
      </c>
      <c r="I252" s="5">
        <v>142</v>
      </c>
      <c r="J252" s="6">
        <f t="shared" si="1176"/>
        <v>0.92810457516339873</v>
      </c>
      <c r="K252" s="5">
        <v>39</v>
      </c>
      <c r="L252" s="5">
        <v>17</v>
      </c>
      <c r="M252" s="5">
        <v>12</v>
      </c>
      <c r="N252" s="9">
        <v>0</v>
      </c>
      <c r="O252" s="46">
        <f t="shared" si="1177"/>
        <v>0</v>
      </c>
      <c r="P252" s="5">
        <v>7</v>
      </c>
      <c r="Q252" s="46">
        <f t="shared" ref="Q252" si="1526">IFERROR(P252/$I252,"")</f>
        <v>4.9295774647887321E-2</v>
      </c>
      <c r="R252" s="5">
        <v>48</v>
      </c>
      <c r="S252" s="46">
        <f t="shared" ref="S252" si="1527">IFERROR(R252/$I252,"")</f>
        <v>0.3380281690140845</v>
      </c>
      <c r="T252" s="5">
        <v>0</v>
      </c>
      <c r="U252" s="46">
        <f t="shared" ref="U252" si="1528">IFERROR(T252/$I252,"")</f>
        <v>0</v>
      </c>
      <c r="V252" s="5">
        <v>6</v>
      </c>
      <c r="W252" s="46">
        <f t="shared" ref="W252" si="1529">IFERROR(V252/$I252,"")</f>
        <v>4.2253521126760563E-2</v>
      </c>
      <c r="X252" s="5">
        <v>8</v>
      </c>
      <c r="Y252" s="46">
        <f t="shared" ref="Y252" si="1530">IFERROR(X252/$I252,"")</f>
        <v>5.6338028169014086E-2</v>
      </c>
      <c r="Z252" s="5">
        <v>8</v>
      </c>
      <c r="AA252" s="46">
        <f t="shared" ref="AA252" si="1531">IFERROR(Z252/$I252,"")</f>
        <v>5.6338028169014086E-2</v>
      </c>
      <c r="AB252" s="5">
        <v>85</v>
      </c>
      <c r="AC252" s="46">
        <f t="shared" si="1184"/>
        <v>0.55555555555555558</v>
      </c>
      <c r="AD252" s="5">
        <v>122</v>
      </c>
      <c r="AE252" s="5">
        <v>158150.70999999996</v>
      </c>
      <c r="AF252" s="5">
        <f t="shared" si="1185"/>
        <v>1860.5965882352937</v>
      </c>
      <c r="AG252" s="5">
        <v>705.22</v>
      </c>
      <c r="AH252" s="49">
        <f t="shared" si="1186"/>
        <v>4.9663380281690142</v>
      </c>
      <c r="AI252" s="5">
        <v>25179</v>
      </c>
      <c r="AJ252" s="5">
        <v>8</v>
      </c>
      <c r="AK252" s="4">
        <v>60</v>
      </c>
      <c r="AL252" s="7">
        <v>52</v>
      </c>
      <c r="AM252" s="4">
        <v>6</v>
      </c>
      <c r="AN252" s="4">
        <v>2</v>
      </c>
      <c r="AO252" s="11">
        <f t="shared" si="1187"/>
        <v>83.333333333333343</v>
      </c>
      <c r="AP252" s="50">
        <f t="shared" si="1188"/>
        <v>0.39215686274509803</v>
      </c>
      <c r="AQ252" s="7">
        <v>153</v>
      </c>
      <c r="AR252" s="50">
        <f t="shared" si="1189"/>
        <v>1</v>
      </c>
      <c r="AS252" s="4"/>
    </row>
    <row r="253" spans="1:45" ht="18" customHeight="1" x14ac:dyDescent="0.3">
      <c r="A253" s="4" t="s">
        <v>40</v>
      </c>
      <c r="B253" s="4" t="s">
        <v>136</v>
      </c>
      <c r="C253" s="4" t="s">
        <v>47</v>
      </c>
      <c r="D253" s="4" t="s">
        <v>137</v>
      </c>
      <c r="E253" s="4" t="s">
        <v>138</v>
      </c>
      <c r="F253" s="7" t="s">
        <v>48</v>
      </c>
      <c r="G253" s="4" t="s">
        <v>57</v>
      </c>
      <c r="H253" s="5">
        <v>167</v>
      </c>
      <c r="I253" s="5">
        <v>126</v>
      </c>
      <c r="J253" s="6">
        <f t="shared" si="1176"/>
        <v>0.75449101796407181</v>
      </c>
      <c r="K253" s="5">
        <v>60</v>
      </c>
      <c r="L253" s="5">
        <v>22</v>
      </c>
      <c r="M253" s="5">
        <v>23</v>
      </c>
      <c r="N253" s="9">
        <v>13</v>
      </c>
      <c r="O253" s="46">
        <f t="shared" si="1177"/>
        <v>0.10317460317460317</v>
      </c>
      <c r="P253" s="5">
        <v>7</v>
      </c>
      <c r="Q253" s="46">
        <f t="shared" ref="Q253" si="1532">IFERROR(P253/$I253,"")</f>
        <v>5.5555555555555552E-2</v>
      </c>
      <c r="R253" s="5">
        <v>48</v>
      </c>
      <c r="S253" s="46">
        <f t="shared" ref="S253" si="1533">IFERROR(R253/$I253,"")</f>
        <v>0.38095238095238093</v>
      </c>
      <c r="T253" s="5">
        <v>0</v>
      </c>
      <c r="U253" s="46">
        <f t="shared" ref="U253" si="1534">IFERROR(T253/$I253,"")</f>
        <v>0</v>
      </c>
      <c r="V253" s="5">
        <v>23</v>
      </c>
      <c r="W253" s="46">
        <f t="shared" ref="W253" si="1535">IFERROR(V253/$I253,"")</f>
        <v>0.18253968253968253</v>
      </c>
      <c r="X253" s="5">
        <v>17</v>
      </c>
      <c r="Y253" s="46">
        <f t="shared" ref="Y253" si="1536">IFERROR(X253/$I253,"")</f>
        <v>0.13492063492063491</v>
      </c>
      <c r="Z253" s="5">
        <v>22</v>
      </c>
      <c r="AA253" s="46">
        <f t="shared" ref="AA253" si="1537">IFERROR(Z253/$I253,"")</f>
        <v>0.17460317460317459</v>
      </c>
      <c r="AB253" s="5">
        <v>91</v>
      </c>
      <c r="AC253" s="46">
        <f t="shared" si="1184"/>
        <v>0.54491017964071853</v>
      </c>
      <c r="AD253" s="5">
        <v>135</v>
      </c>
      <c r="AE253" s="5">
        <v>174685.19999999978</v>
      </c>
      <c r="AF253" s="5">
        <f t="shared" si="1185"/>
        <v>1919.61758241758</v>
      </c>
      <c r="AG253" s="5">
        <v>0</v>
      </c>
      <c r="AH253" s="49">
        <f t="shared" si="1186"/>
        <v>0</v>
      </c>
      <c r="AI253" s="5">
        <v>2166</v>
      </c>
      <c r="AJ253" s="5">
        <v>0</v>
      </c>
      <c r="AK253" s="4">
        <v>48</v>
      </c>
      <c r="AL253" s="7">
        <v>42</v>
      </c>
      <c r="AM253" s="4">
        <v>3</v>
      </c>
      <c r="AN253" s="4">
        <v>3</v>
      </c>
      <c r="AO253" s="11">
        <f t="shared" si="1187"/>
        <v>81.25</v>
      </c>
      <c r="AP253" s="50">
        <f t="shared" si="1188"/>
        <v>0.28742514970059879</v>
      </c>
      <c r="AQ253" s="7">
        <v>167</v>
      </c>
      <c r="AR253" s="50">
        <f t="shared" si="1189"/>
        <v>1</v>
      </c>
      <c r="AS253" s="4"/>
    </row>
    <row r="254" spans="1:45" ht="18" customHeight="1" x14ac:dyDescent="0.3">
      <c r="A254" s="4" t="s">
        <v>40</v>
      </c>
      <c r="B254" s="4" t="s">
        <v>139</v>
      </c>
      <c r="C254" s="4" t="s">
        <v>47</v>
      </c>
      <c r="D254" s="4" t="s">
        <v>140</v>
      </c>
      <c r="E254" s="4" t="s">
        <v>141</v>
      </c>
      <c r="F254" s="7" t="s">
        <v>48</v>
      </c>
      <c r="G254" s="4" t="s">
        <v>142</v>
      </c>
      <c r="H254" s="5">
        <v>214</v>
      </c>
      <c r="I254" s="5">
        <v>152</v>
      </c>
      <c r="J254" s="6">
        <f t="shared" si="1176"/>
        <v>0.71028037383177567</v>
      </c>
      <c r="K254" s="5">
        <v>57</v>
      </c>
      <c r="L254" s="5">
        <v>28</v>
      </c>
      <c r="M254" s="5">
        <v>20</v>
      </c>
      <c r="N254" s="9">
        <v>10</v>
      </c>
      <c r="O254" s="46">
        <f t="shared" si="1177"/>
        <v>6.5789473684210523E-2</v>
      </c>
      <c r="P254" s="5">
        <v>7</v>
      </c>
      <c r="Q254" s="46">
        <f t="shared" ref="Q254" si="1538">IFERROR(P254/$I254,"")</f>
        <v>4.6052631578947366E-2</v>
      </c>
      <c r="R254" s="5">
        <v>57</v>
      </c>
      <c r="S254" s="46">
        <f t="shared" ref="S254" si="1539">IFERROR(R254/$I254,"")</f>
        <v>0.375</v>
      </c>
      <c r="T254" s="5">
        <v>1</v>
      </c>
      <c r="U254" s="46">
        <f t="shared" ref="U254" si="1540">IFERROR(T254/$I254,"")</f>
        <v>6.5789473684210523E-3</v>
      </c>
      <c r="V254" s="5">
        <v>28</v>
      </c>
      <c r="W254" s="46">
        <f t="shared" ref="W254" si="1541">IFERROR(V254/$I254,"")</f>
        <v>0.18421052631578946</v>
      </c>
      <c r="X254" s="5">
        <v>20</v>
      </c>
      <c r="Y254" s="46">
        <f t="shared" ref="Y254" si="1542">IFERROR(X254/$I254,"")</f>
        <v>0.13157894736842105</v>
      </c>
      <c r="Z254" s="5">
        <v>14</v>
      </c>
      <c r="AA254" s="46">
        <f t="shared" ref="AA254" si="1543">IFERROR(Z254/$I254,"")</f>
        <v>9.2105263157894732E-2</v>
      </c>
      <c r="AB254" s="5">
        <v>105</v>
      </c>
      <c r="AC254" s="46">
        <f t="shared" si="1184"/>
        <v>0.49065420560747663</v>
      </c>
      <c r="AD254" s="5">
        <v>178</v>
      </c>
      <c r="AE254" s="5">
        <v>185864.90000000011</v>
      </c>
      <c r="AF254" s="5">
        <f t="shared" si="1185"/>
        <v>1770.1419047619058</v>
      </c>
      <c r="AG254" s="5">
        <v>0</v>
      </c>
      <c r="AH254" s="49">
        <f t="shared" si="1186"/>
        <v>0</v>
      </c>
      <c r="AI254" s="5">
        <v>24614</v>
      </c>
      <c r="AJ254" s="5">
        <v>0</v>
      </c>
      <c r="AK254" s="4">
        <v>19</v>
      </c>
      <c r="AL254" s="7">
        <v>18</v>
      </c>
      <c r="AM254" s="4">
        <v>1</v>
      </c>
      <c r="AN254" s="4">
        <v>0</v>
      </c>
      <c r="AO254" s="11">
        <f t="shared" si="1187"/>
        <v>94.73684210526315</v>
      </c>
      <c r="AP254" s="50">
        <f t="shared" si="1188"/>
        <v>8.8785046728971959E-2</v>
      </c>
      <c r="AQ254" s="7">
        <v>214</v>
      </c>
      <c r="AR254" s="50">
        <f t="shared" si="1189"/>
        <v>1</v>
      </c>
      <c r="AS254" s="4"/>
    </row>
    <row r="255" spans="1:45" ht="18" customHeight="1" x14ac:dyDescent="0.3">
      <c r="A255" s="4" t="s">
        <v>40</v>
      </c>
      <c r="B255" s="4" t="s">
        <v>143</v>
      </c>
      <c r="C255" s="4" t="s">
        <v>47</v>
      </c>
      <c r="D255" s="4" t="s">
        <v>159</v>
      </c>
      <c r="E255" s="4" t="s">
        <v>160</v>
      </c>
      <c r="F255" s="7" t="s">
        <v>48</v>
      </c>
      <c r="G255" s="4" t="s">
        <v>65</v>
      </c>
      <c r="H255" s="5">
        <v>175</v>
      </c>
      <c r="I255" s="5">
        <v>140</v>
      </c>
      <c r="J255" s="6">
        <f t="shared" si="1176"/>
        <v>0.8</v>
      </c>
      <c r="K255" s="5">
        <v>71</v>
      </c>
      <c r="L255" s="5">
        <v>36</v>
      </c>
      <c r="M255" s="5">
        <v>24</v>
      </c>
      <c r="N255" s="9">
        <v>4</v>
      </c>
      <c r="O255" s="46">
        <f t="shared" si="1177"/>
        <v>2.8571428571428571E-2</v>
      </c>
      <c r="P255" s="5">
        <v>6</v>
      </c>
      <c r="Q255" s="46">
        <f t="shared" ref="Q255" si="1544">IFERROR(P255/$I255,"")</f>
        <v>4.2857142857142858E-2</v>
      </c>
      <c r="R255" s="5">
        <v>46</v>
      </c>
      <c r="S255" s="46">
        <f t="shared" ref="S255" si="1545">IFERROR(R255/$I255,"")</f>
        <v>0.32857142857142857</v>
      </c>
      <c r="T255" s="5">
        <v>0</v>
      </c>
      <c r="U255" s="46">
        <f t="shared" ref="U255" si="1546">IFERROR(T255/$I255,"")</f>
        <v>0</v>
      </c>
      <c r="V255" s="5">
        <v>24</v>
      </c>
      <c r="W255" s="46">
        <f t="shared" ref="W255" si="1547">IFERROR(V255/$I255,"")</f>
        <v>0.17142857142857143</v>
      </c>
      <c r="X255" s="5">
        <v>22</v>
      </c>
      <c r="Y255" s="46">
        <f t="shared" ref="Y255" si="1548">IFERROR(X255/$I255,"")</f>
        <v>0.15714285714285714</v>
      </c>
      <c r="Z255" s="5">
        <v>16</v>
      </c>
      <c r="AA255" s="46">
        <f t="shared" ref="AA255" si="1549">IFERROR(Z255/$I255,"")</f>
        <v>0.11428571428571428</v>
      </c>
      <c r="AB255" s="5">
        <v>107</v>
      </c>
      <c r="AC255" s="46">
        <f t="shared" si="1184"/>
        <v>0.61142857142857143</v>
      </c>
      <c r="AD255" s="5">
        <v>147</v>
      </c>
      <c r="AE255" s="5">
        <v>187760.71000000002</v>
      </c>
      <c r="AF255" s="5">
        <f t="shared" si="1185"/>
        <v>1754.7729906542058</v>
      </c>
      <c r="AG255" s="5">
        <v>0</v>
      </c>
      <c r="AH255" s="49">
        <f t="shared" si="1186"/>
        <v>0</v>
      </c>
      <c r="AI255" s="5">
        <v>360</v>
      </c>
      <c r="AJ255" s="5">
        <v>0</v>
      </c>
      <c r="AK255" s="4">
        <v>40</v>
      </c>
      <c r="AL255" s="7">
        <v>36</v>
      </c>
      <c r="AM255" s="4">
        <v>4</v>
      </c>
      <c r="AN255" s="4">
        <v>0</v>
      </c>
      <c r="AO255" s="11">
        <f t="shared" si="1187"/>
        <v>90</v>
      </c>
      <c r="AP255" s="50">
        <f t="shared" si="1188"/>
        <v>0.22857142857142856</v>
      </c>
      <c r="AQ255" s="7">
        <v>175</v>
      </c>
      <c r="AR255" s="50">
        <f t="shared" si="1189"/>
        <v>1</v>
      </c>
      <c r="AS2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 Summary (2)</vt:lpstr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JAYARAJ V</dc:creator>
  <cp:lastModifiedBy>Jayaraj RO Kaizen</cp:lastModifiedBy>
  <dcterms:created xsi:type="dcterms:W3CDTF">2015-06-05T18:17:20Z</dcterms:created>
  <dcterms:modified xsi:type="dcterms:W3CDTF">2026-08-11T07:58:55Z</dcterms:modified>
</cp:coreProperties>
</file>